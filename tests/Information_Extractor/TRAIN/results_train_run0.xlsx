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s\yye7607\Documents\work\Stage Amjad Ali\RAG\Testing\Information_Extractor\TRAIN\"/>
    </mc:Choice>
  </mc:AlternateContent>
  <bookViews>
    <workbookView minimized="1" xWindow="240" yWindow="12" windowWidth="16092" windowHeight="9660" activeTab="2"/>
  </bookViews>
  <sheets>
    <sheet name="Metrics" sheetId="1" r:id="rId1"/>
    <sheet name="Match_Score" sheetId="8" r:id="rId2"/>
    <sheet name="Outputs" sheetId="2" r:id="rId3"/>
    <sheet name="Q&amp;A" sheetId="3" r:id="rId4"/>
    <sheet name="Contexts" sheetId="6" r:id="rId5"/>
    <sheet name="Chunks" sheetId="4" r:id="rId6"/>
    <sheet name="run_times" sheetId="5" r:id="rId7"/>
    <sheet name="Configs" sheetId="7" r:id="rId8"/>
  </sheets>
  <calcPr calcId="162913"/>
</workbook>
</file>

<file path=xl/calcChain.xml><?xml version="1.0" encoding="utf-8"?>
<calcChain xmlns="http://schemas.openxmlformats.org/spreadsheetml/2006/main">
  <c r="G11" i="4" l="1"/>
  <c r="G753" i="4"/>
  <c r="G763" i="4"/>
  <c r="G989" i="4"/>
  <c r="G1480" i="4"/>
  <c r="G1521" i="4"/>
  <c r="G1570" i="4"/>
  <c r="G1584" i="4"/>
  <c r="G1590" i="4"/>
  <c r="G1689" i="4"/>
  <c r="G2415" i="4"/>
  <c r="G2499" i="4"/>
  <c r="G2637" i="4"/>
  <c r="G2642" i="4"/>
  <c r="E10" i="4" l="1"/>
  <c r="E641" i="4"/>
  <c r="E651" i="4"/>
  <c r="E840" i="4"/>
  <c r="E1234" i="4"/>
  <c r="E1262" i="4"/>
  <c r="E1278" i="4"/>
  <c r="E1327" i="4"/>
  <c r="E1333" i="4"/>
  <c r="E1975" i="4"/>
  <c r="E2040" i="4"/>
  <c r="E2138" i="4"/>
  <c r="E2143" i="4"/>
  <c r="C11" i="4" l="1"/>
  <c r="C852" i="4"/>
  <c r="C862" i="4"/>
  <c r="C2055" i="4"/>
  <c r="C2588" i="4"/>
  <c r="C2602" i="4"/>
  <c r="C2630" i="4"/>
  <c r="C2646" i="4"/>
  <c r="C2695" i="4"/>
  <c r="C2701" i="4"/>
  <c r="C2819" i="4"/>
  <c r="C3593" i="4"/>
  <c r="C3681" i="4"/>
  <c r="C3821" i="4"/>
  <c r="C3826" i="4"/>
  <c r="C3837" i="4"/>
  <c r="C3842" i="4"/>
  <c r="I25" i="4" l="1"/>
  <c r="I817" i="4"/>
  <c r="I827" i="4"/>
  <c r="I841" i="4"/>
  <c r="I1946" i="4"/>
  <c r="I2514" i="4"/>
  <c r="I2542" i="4"/>
  <c r="I2558" i="4"/>
  <c r="I2607" i="4"/>
  <c r="I2613" i="4"/>
  <c r="I2730" i="4"/>
  <c r="I3431" i="4"/>
  <c r="I3515" i="4"/>
  <c r="I3664" i="4"/>
  <c r="I3669" i="4"/>
  <c r="A21" i="4" l="1"/>
  <c r="A753" i="4"/>
  <c r="A763" i="4"/>
  <c r="A775" i="4"/>
  <c r="A1786" i="4"/>
  <c r="A2300" i="4"/>
  <c r="A2328" i="4"/>
  <c r="A2342" i="4"/>
  <c r="A2389" i="4"/>
  <c r="A2395" i="4"/>
  <c r="A2506" i="4"/>
  <c r="A3159" i="4"/>
  <c r="A3237" i="4"/>
  <c r="A3370" i="4"/>
  <c r="A3375" i="4"/>
</calcChain>
</file>

<file path=xl/comments1.xml><?xml version="1.0" encoding="utf-8"?>
<comments xmlns="http://schemas.openxmlformats.org/spreadsheetml/2006/main">
  <authors>
    <author>Ali Amjad</author>
  </authors>
  <commentList>
    <comment ref="C1" authorId="0" shapeId="0">
      <text>
        <r>
          <rPr>
            <b/>
            <sz val="9"/>
            <color indexed="81"/>
            <rFont val="Tahoma"/>
            <charset val="1"/>
          </rPr>
          <t>Ali Amjad:</t>
        </r>
        <r>
          <rPr>
            <sz val="9"/>
            <color indexed="81"/>
            <rFont val="Tahoma"/>
            <charset val="1"/>
          </rPr>
          <t xml:space="preserve">
Error symbols map: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D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F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H1" authorId="0" shapeId="0">
      <text>
        <r>
          <rPr>
            <b/>
            <sz val="9"/>
            <color indexed="81"/>
            <rFont val="Tahoma"/>
            <family val="2"/>
          </rPr>
          <t>Ali Amjad:</t>
        </r>
        <r>
          <rPr>
            <sz val="9"/>
            <color indexed="81"/>
            <rFont val="Tahoma"/>
            <family val="2"/>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J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L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H87" authorId="0" shapeId="0">
      <text>
        <r>
          <rPr>
            <sz val="9"/>
            <color indexed="81"/>
            <rFont val="Tahoma"/>
            <family val="2"/>
          </rPr>
          <t xml:space="preserve">Generated answer adds incorrrectly "del consiglio di amministratori". The rest of answer is correct
</t>
        </r>
      </text>
    </comment>
    <comment ref="H151" authorId="0" shapeId="0">
      <text>
        <r>
          <rPr>
            <sz val="9"/>
            <color indexed="81"/>
            <rFont val="Tahoma"/>
            <family val="2"/>
          </rPr>
          <t>It read wrong the the year "duemilasessanta" to "duemila sei cento venticinque
"</t>
        </r>
      </text>
    </comment>
  </commentList>
</comments>
</file>

<file path=xl/sharedStrings.xml><?xml version="1.0" encoding="utf-8"?>
<sst xmlns="http://schemas.openxmlformats.org/spreadsheetml/2006/main" count="20660" uniqueCount="4206">
  <si>
    <t>"""</t>
  </si>
  <si>
    <t>ACCURACY:</t>
  </si>
  <si>
    <t>    Company:  POLIAMBULATORIO 3D S.R.L.</t>
  </si>
  <si>
    <t>        Per Group Accuracies:</t>
  </si>
  <si>
    <t>            CompensoAmministratori: 0.800</t>
  </si>
  <si>
    <t>            BilanciUtili: 0.333</t>
  </si>
  <si>
    <t>            InfoGenerali: 1.000</t>
  </si>
  <si>
    <t> -------------------------------------------------- xxxxx --------------------------------------------------</t>
  </si>
  <si>
    <t>    Company:  OSPEDALE TORTONA SOCIETÀ CONSORTILE A R.L.</t>
  </si>
  <si>
    <t>    Company:  UNICA SOCIETÀ BENEFITA R.L.</t>
  </si>
  <si>
    <t>        Avg. Group accuracy:  0.750</t>
  </si>
  <si>
    <t>    Company:  SECUR SYSTEM GROUP DI ROMEO s.r.l.</t>
  </si>
  <si>
    <t>        Avg. Group accuracy:  0.500</t>
  </si>
  <si>
    <t>            CompensoAmministratori: 0.600</t>
  </si>
  <si>
    <t xml:space="preserve">Overall accuracy: </t>
  </si>
  <si>
    <t>    Avg. per Group Accuracies:</t>
  </si>
  <si>
    <t>        InfoGenerali: 1.000</t>
  </si>
  <si>
    <r>
      <t xml:space="preserve">TEST 2: </t>
    </r>
    <r>
      <rPr>
        <sz val="11"/>
        <color theme="1"/>
        <rFont val="Calibri"/>
        <family val="2"/>
        <scheme val="minor"/>
      </rPr>
      <t xml:space="preserve"> Fixed Size chunks</t>
    </r>
  </si>
  <si>
    <t>{</t>
  </si>
  <si>
    <t>            },</t>
  </si>
  <si>
    <t>            }</t>
  </si>
  <si>
    <t>        },</t>
  </si>
  <si>
    <t>        }</t>
  </si>
  <si>
    <t>    },</t>
  </si>
  <si>
    <t>    }</t>
  </si>
  <si>
    <t>}</t>
  </si>
  <si>
    <r>
      <t xml:space="preserve">    </t>
    </r>
    <r>
      <rPr>
        <sz val="9"/>
        <color rgb="FFA31515"/>
        <rFont val="Consolas"/>
        <family val="3"/>
      </rPr>
      <t>"poliambulatorio 3d s.r.l."</t>
    </r>
    <r>
      <rPr>
        <sz val="9"/>
        <color rgb="FF3B3B3B"/>
        <rFont val="Consolas"/>
        <family val="3"/>
      </rPr>
      <t>: {</t>
    </r>
  </si>
  <si>
    <r>
      <t xml:space="preserve">        </t>
    </r>
    <r>
      <rPr>
        <sz val="9"/>
        <color rgb="FFA31515"/>
        <rFont val="Consolas"/>
        <family val="3"/>
      </rPr>
      <t>"CompensoAmministratori"</t>
    </r>
    <r>
      <rPr>
        <sz val="9"/>
        <color rgb="FF3B3B3B"/>
        <rFont val="Consolas"/>
        <family val="3"/>
      </rPr>
      <t>: {</t>
    </r>
  </si>
  <si>
    <r>
      <t xml:space="preserve">            </t>
    </r>
    <r>
      <rPr>
        <sz val="9"/>
        <color rgb="FFA31515"/>
        <rFont val="Consolas"/>
        <family val="3"/>
      </rPr>
      <t>"Rimborso"</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</si>
  <si>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</si>
  <si>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"IndennitaAnnuale"</t>
    </r>
    <r>
      <rPr>
        <sz val="9"/>
        <color rgb="FF3B3B3B"/>
        <rFont val="Consolas"/>
        <family val="3"/>
      </rPr>
      <t>: {</t>
    </r>
  </si>
  <si>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</si>
  <si>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"IndennitaCessazione"</t>
    </r>
    <r>
      <rPr>
        <sz val="9"/>
        <color rgb="FF3B3B3B"/>
        <rFont val="Consolas"/>
        <family val="3"/>
      </rPr>
      <t>: {</t>
    </r>
  </si>
  <si>
    <r>
      <t xml:space="preserve">                </t>
    </r>
    <r>
      <rPr>
        <sz val="9"/>
        <color rgb="FFA31515"/>
        <rFont val="Consolas"/>
        <family val="3"/>
      </rPr>
      <t>"spetta_indennita"</t>
    </r>
    <r>
      <rPr>
        <sz val="9"/>
        <color rgb="FF3B3B3B"/>
        <rFont val="Consolas"/>
        <family val="3"/>
      </rPr>
      <t xml:space="preserve">: </t>
    </r>
    <r>
      <rPr>
        <sz val="9"/>
        <color rgb="FFA31515"/>
        <rFont val="Consolas"/>
        <family val="3"/>
      </rPr>
      <t>"Sì"</t>
    </r>
  </si>
  <si>
    <r>
      <t xml:space="preserve">        </t>
    </r>
    <r>
      <rPr>
        <sz val="9"/>
        <color rgb="FFA31515"/>
        <rFont val="Consolas"/>
        <family val="3"/>
      </rPr>
      <t>"BilanciUtili"</t>
    </r>
    <r>
      <rPr>
        <sz val="9"/>
        <color rgb="FF3B3B3B"/>
        <rFont val="Consolas"/>
        <family val="3"/>
      </rPr>
      <t>: {</t>
    </r>
  </si>
  <si>
    <r>
      <t xml:space="preserve">            </t>
    </r>
    <r>
      <rPr>
        <sz val="9"/>
        <color rgb="FFA31515"/>
        <rFont val="Consolas"/>
        <family val="3"/>
      </rPr>
      <t>"PercentualeRiservaLegale"</t>
    </r>
    <r>
      <rPr>
        <sz val="9"/>
        <color rgb="FF3B3B3B"/>
        <rFont val="Consolas"/>
        <family val="3"/>
      </rPr>
      <t>: {</t>
    </r>
  </si>
  <si>
    <r>
      <t xml:space="preserve">                </t>
    </r>
    <r>
      <rPr>
        <sz val="9"/>
        <color rgb="FFA31515"/>
        <rFont val="Consolas"/>
        <family val="3"/>
      </rPr>
      <t>"percentuale_utili"</t>
    </r>
    <r>
      <rPr>
        <sz val="9"/>
        <color rgb="FF3B3B3B"/>
        <rFont val="Consolas"/>
        <family val="3"/>
      </rPr>
      <t xml:space="preserve">: </t>
    </r>
    <r>
      <rPr>
        <sz val="9"/>
        <color rgb="FFA31515"/>
        <rFont val="Consolas"/>
        <family val="3"/>
      </rPr>
      <t>""</t>
    </r>
  </si>
  <si>
    <r>
      <t xml:space="preserve">            </t>
    </r>
    <r>
      <rPr>
        <sz val="9"/>
        <color rgb="FFA31515"/>
        <rFont val="Consolas"/>
        <family val="3"/>
      </rPr>
      <t>"CapitaleSociale"</t>
    </r>
    <r>
      <rPr>
        <sz val="9"/>
        <color rgb="FF3B3B3B"/>
        <rFont val="Consolas"/>
        <family val="3"/>
      </rPr>
      <t>: {</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</si>
  <si>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t>
    </r>
  </si>
  <si>
    <r>
      <t xml:space="preserve">            </t>
    </r>
    <r>
      <rPr>
        <sz val="9"/>
        <color rgb="FFA31515"/>
        <rFont val="Consolas"/>
        <family val="3"/>
      </rPr>
      <t>"TermineApprovazioneBilancio"</t>
    </r>
    <r>
      <rPr>
        <sz val="9"/>
        <color rgb="FF3B3B3B"/>
        <rFont val="Consolas"/>
        <family val="3"/>
      </rPr>
      <t>: {</t>
    </r>
  </si>
  <si>
    <r>
      <t xml:space="preserve">            </t>
    </r>
    <r>
      <rPr>
        <sz val="9"/>
        <color rgb="FFA31515"/>
        <rFont val="Consolas"/>
        <family val="3"/>
      </rPr>
      <t>"DataChiusuraEsercizio"</t>
    </r>
    <r>
      <rPr>
        <sz val="9"/>
        <color rgb="FF3B3B3B"/>
        <rFont val="Consolas"/>
        <family val="3"/>
      </rPr>
      <t>: {</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</si>
  <si>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dicembre"</t>
    </r>
  </si>
  <si>
    <r>
      <t xml:space="preserve">            </t>
    </r>
    <r>
      <rPr>
        <sz val="9"/>
        <color rgb="FFA31515"/>
        <rFont val="Consolas"/>
        <family val="3"/>
      </rPr>
      <t>"UtiliResidui"</t>
    </r>
    <r>
      <rPr>
        <sz val="9"/>
        <color rgb="FF3B3B3B"/>
        <rFont val="Consolas"/>
        <family val="3"/>
      </rPr>
      <t>: {</t>
    </r>
  </si>
  <si>
    <r>
      <t xml:space="preserve">        </t>
    </r>
    <r>
      <rPr>
        <sz val="9"/>
        <color rgb="FFA31515"/>
        <rFont val="Consolas"/>
        <family val="3"/>
      </rPr>
      <t>"InfoGenerali"</t>
    </r>
    <r>
      <rPr>
        <sz val="9"/>
        <color rgb="FF3B3B3B"/>
        <rFont val="Consolas"/>
        <family val="3"/>
      </rPr>
      <t>: {</t>
    </r>
  </si>
  <si>
    <r>
      <t xml:space="preserve">            </t>
    </r>
    <r>
      <rPr>
        <sz val="9"/>
        <color rgb="FFA31515"/>
        <rFont val="Consolas"/>
        <family val="3"/>
      </rPr>
      <t>"Durata"</t>
    </r>
    <r>
      <rPr>
        <sz val="9"/>
        <color rgb="FF3B3B3B"/>
        <rFont val="Consolas"/>
        <family val="3"/>
      </rPr>
      <t>: {</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</si>
  <si>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2060"</t>
    </r>
  </si>
  <si>
    <r>
      <t xml:space="preserve">    </t>
    </r>
    <r>
      <rPr>
        <sz val="9"/>
        <color rgb="FFA31515"/>
        <rFont val="Consolas"/>
        <family val="3"/>
      </rPr>
      <t>"ospedale tortona società consortile a r.l."</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</si>
  <si>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</si>
  <si>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"spese_incluse"</t>
    </r>
    <r>
      <rPr>
        <sz val="9"/>
        <color rgb="FF3B3B3B"/>
        <rFont val="Consolas"/>
        <family val="3"/>
      </rPr>
      <t xml:space="preserve">: </t>
    </r>
    <r>
      <rPr>
        <sz val="9"/>
        <color rgb="FFA31515"/>
        <rFont val="Consolas"/>
        <family val="3"/>
      </rPr>
      <t>""</t>
    </r>
  </si>
  <si>
    <r>
      <t xml:space="preserve">                </t>
    </r>
    <r>
      <rPr>
        <sz val="9"/>
        <color rgb="FFA31515"/>
        <rFont val="Consolas"/>
        <family val="3"/>
      </rPr>
      <t>"misura_indennita"</t>
    </r>
    <r>
      <rPr>
        <sz val="9"/>
        <color rgb="FF3B3B3B"/>
        <rFont val="Consolas"/>
        <family val="3"/>
      </rPr>
      <t xml:space="preserve">: </t>
    </r>
    <r>
      <rPr>
        <sz val="9"/>
        <color rgb="FFA31515"/>
        <rFont val="Consolas"/>
        <family val="3"/>
      </rPr>
      <t>"Sì, i soci possono assegnare un compenso agli amministratori, ma tale delibera deve essere assunta con voto unanime."</t>
    </r>
  </si>
  <si>
    <r>
      <t xml:space="preserve">                </t>
    </r>
    <r>
      <rPr>
        <sz val="9"/>
        <color rgb="FFA31515"/>
        <rFont val="Consolas"/>
        <family val="3"/>
      </rPr>
      <t>"spetta_indennita"</t>
    </r>
    <r>
      <rPr>
        <sz val="9"/>
        <color rgb="FF3B3B3B"/>
        <rFont val="Consolas"/>
        <family val="3"/>
      </rPr>
      <t xml:space="preserve">: </t>
    </r>
    <r>
      <rPr>
        <sz val="9"/>
        <color rgb="FFA31515"/>
        <rFont val="Consolas"/>
        <family val="3"/>
      </rPr>
      <t>""</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</si>
  <si>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"30.000,00 (trentamila virgola zero zero)"</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</si>
  <si>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</si>
  <si>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"0"</t>
    </r>
  </si>
  <si>
    <r>
      <t xml:space="preserve">                </t>
    </r>
    <r>
      <rPr>
        <sz val="9"/>
        <color rgb="FFA31515"/>
        <rFont val="Consolas"/>
        <family val="3"/>
      </rPr>
      <t>"utili_residui"</t>
    </r>
    <r>
      <rPr>
        <sz val="9"/>
        <color rgb="FF3B3B3B"/>
        <rFont val="Consolas"/>
        <family val="3"/>
      </rPr>
      <t xml:space="preserve">: </t>
    </r>
    <r>
      <rPr>
        <sz val="9"/>
        <color rgb="FFA31515"/>
        <rFont val="Consolas"/>
        <family val="3"/>
      </rPr>
      <t>"Ristornati ai soci secondo quanto deliberato dall'Assemblea"</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</si>
  <si>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2032"</t>
    </r>
  </si>
  <si>
    <r>
      <t xml:space="preserve">    </t>
    </r>
    <r>
      <rPr>
        <sz val="9"/>
        <color rgb="FFA31515"/>
        <rFont val="Consolas"/>
        <family val="3"/>
      </rPr>
      <t>"unica società benefit a r.l."</t>
    </r>
    <r>
      <rPr>
        <sz val="9"/>
        <color rgb="FF3B3B3B"/>
        <rFont val="Consolas"/>
        <family val="3"/>
      </rPr>
      <t>: {</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</si>
  <si>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"12.000,00 (dodicimila virgola zero zero)"</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</si>
  <si>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"120"</t>
    </r>
    <r>
      <rPr>
        <sz val="9"/>
        <color rgb="FF3B3B3B"/>
        <rFont val="Consolas"/>
        <family val="3"/>
      </rPr>
      <t>,</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</si>
  <si>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2080"</t>
    </r>
  </si>
  <si>
    <r>
      <t xml:space="preserve">    </t>
    </r>
    <r>
      <rPr>
        <sz val="9"/>
        <color rgb="FFA31515"/>
        <rFont val="Consolas"/>
        <family val="3"/>
      </rPr>
      <t>"secur system group di romeo s.r.l."</t>
    </r>
    <r>
      <rPr>
        <sz val="9"/>
        <color rgb="FF3B3B3B"/>
        <rFont val="Consolas"/>
        <family val="3"/>
      </rPr>
      <t>: {</t>
    </r>
  </si>
  <si>
    <r>
      <t xml:space="preserve">TEST 2: </t>
    </r>
    <r>
      <rPr>
        <sz val="11"/>
        <color theme="1"/>
        <rFont val="Calibri"/>
        <family val="2"/>
        <scheme val="minor"/>
      </rPr>
      <t>Fixed-size chunks</t>
    </r>
  </si>
  <si>
    <t>Articolo 1 - Denominazione</t>
  </si>
  <si>
    <t>E' c ostituita u na s ocietà a  r esponsabilità l imitata</t>
  </si>
  <si>
    <t>denominata "POLIAMBULATORIO 3D S.R.L.".</t>
  </si>
  <si>
    <t>Articolo 2 - Oggetto</t>
  </si>
  <si>
    <t>La s ocietà h a p er o ggetto l 'esercizio d elle s eguenti</t>
  </si>
  <si>
    <t>attività:</t>
  </si>
  <si>
    <t>- la g estione i n p roprio d i s tudi m edici d iagnostici,</t>
  </si>
  <si>
    <t>poliambulatori specialistici e quant’altro attinente;</t>
  </si>
  <si>
    <t>supporto organizzativo, tecnico o d i gestione per fornire a</t>
  </si>
  <si>
    <t>soggetti pubblici e/o privati, associazioni e società anche</t>
  </si>
  <si>
    <t>a scopo mutualistico e/o assicurativo la collaborazione e la</t>
  </si>
  <si>
    <t>completa o  parziale a ssistenza e /o l a c ollaborazione n ello</t>
  </si>
  <si>
    <t>svolgimento di attività o di servizi sanitari;</t>
  </si>
  <si>
    <t>- la creazione ed il potenziamento, anche per conto terzi,</t>
  </si>
  <si>
    <t>di centri di studio e di qualificazione professionale;</t>
  </si>
  <si>
    <t>- lo studio e l’attuazione, anche per conto terzi, di ogni</t>
  </si>
  <si>
    <t>perfezionamento d i a tto c onnesso a l p rogresso t ecnico -</t>
  </si>
  <si>
    <t>sanitario;</t>
  </si>
  <si>
    <t>- ogni p restazione a  t ali a ttività c onnessa, i vi c ompresa</t>
  </si>
  <si>
    <t>l’attività d i c ontabilità e  fatturazione a ttiva e  p assiva,</t>
  </si>
  <si>
    <t>l’assunzione d i e /o l a s tipula d i c ontratti p rofessionali</t>
  </si>
  <si>
    <t>e/o di collaborazione attiva e passiva, l’assunzione e/o la</t>
  </si>
  <si>
    <t>Allegato "B"</t>
  </si>
  <si>
    <t>N.13208 Repertorio</t>
  </si>
  <si>
    <t>N.8477 Raccolta</t>
  </si>
  <si>
    <t>Stefano Paderni</t>
  </si>
  <si>
    <t>NOTAIO</t>
  </si>
  <si>
    <t>-------THIS IS A CUSTOM END OF PAGE-------</t>
  </si>
  <si>
    <t xml:space="preserve">stipula di contratti professionali e/o di collaborazione con </t>
  </si>
  <si>
    <t>---------------------------------------- CHUNK 1 ----------------------------------------</t>
  </si>
  <si>
    <t>stipula di contratti professionali e/o di collaborazione con</t>
  </si>
  <si>
    <t>il p ersonale s anitario, p arasanitario, a mministrativo e</t>
  </si>
  <si>
    <t>ausiliario n ecessaria a l c orretto f unzionamento</t>
  </si>
  <si>
    <t>dell’istituzione;</t>
  </si>
  <si>
    <t>L’attività professionale, anche a t itolo di consulenza, sarà</t>
  </si>
  <si>
    <t>svolta d a professionisti i scritti n egli a ppositi a lbi o</t>
  </si>
  <si>
    <t>elenchi., o ve p rescritto d alla normativa  v igente, e  c he</t>
  </si>
  <si>
    <t>siano in possesso dei titoli accademici e professionali.</t>
  </si>
  <si>
    <t>La S ocietà p otrà a ltresì, a ssumere p artecipazioni e d</t>
  </si>
  <si>
    <t>interessenze i n a ltre s ocietà e d i mprese a venti s copo</t>
  </si>
  <si>
    <t>analogo, a ffine e  c omunque c onnesso a l proprio, s ia</t>
  </si>
  <si>
    <t>direttamente c he i ndirettamente, il  t utto d a c ompiersi</t>
  </si>
  <si>
    <t>soltanto in via non prevalente e strettamente finalizzato al</t>
  </si>
  <si>
    <t>raggiungimento d ell’oggetto s ociale, f atto s alvo i l l imite</t>
  </si>
  <si>
    <t>di cui all'articolo 2361 del Codice Civile.</t>
  </si>
  <si>
    <t>Per i l c onseguimento d i t utti g li s copi s opradetti, l a</t>
  </si>
  <si>
    <t>Società potrà acquistare beni mobili e immobili , usufruire</t>
  </si>
  <si>
    <t>di c ontributi, s ussidi, f inanziamenti a gevolati e  d i t utte</t>
  </si>
  <si>
    <t xml:space="preserve">le provvidenze in genere, statali, regionali, comunitarie, e </t>
  </si>
  <si>
    <t>---------------------------------------- CHUNK 2 ----------------------------------------</t>
  </si>
  <si>
    <t>le provvidenze in genere, statali, regionali, comunitarie, e</t>
  </si>
  <si>
    <t>di o gni a ltro E nte, compiere  o perazioni d i i mport-export,</t>
  </si>
  <si>
    <t>aprire conti correnti, anche allo scoperto, accedere a mutui</t>
  </si>
  <si>
    <t>ipotecari, a perture d i c redito e  l ’emissione d i t itoli d i</t>
  </si>
  <si>
    <t>credito i n g enere: p otrà c oncedere i noltre a valli e</t>
  </si>
  <si>
    <t>fideiussioni e assumere appalti sia con privati che con enti</t>
  </si>
  <si>
    <t>pubblici e  p rivati e  c ompiere t utte q uelle o perazioni</t>
  </si>
  <si>
    <t>bancarie, c ommerciali, m obiliari, i mmobiliari, i ndustriali,</t>
  </si>
  <si>
    <t>ritenute n ecessarie o d u tili p er i l c onseguimento</t>
  </si>
  <si>
    <t>dell’oggetto sociale.</t>
  </si>
  <si>
    <t>Articolo 3 - Sede</t>
  </si>
  <si>
    <t>La società ha sede in Messina e potrà aprire stabilimenti ed</t>
  </si>
  <si>
    <t>Uffici a mministrativi, a genzie e  d ipendenze c ommerciali,</t>
  </si>
  <si>
    <t>filiali ovunque lo ritenga opportuno.</t>
  </si>
  <si>
    <t>Articolo 4 - Durata</t>
  </si>
  <si>
    <t>La d urata d ella s ocietà è  s tabilita s ino a l 3 1 d icembre</t>
  </si>
  <si>
    <t>2060, salvo proroga o scioglimento anticipato.</t>
  </si>
  <si>
    <t>Articolo 5 - Capitale</t>
  </si>
  <si>
    <t>5.1 I l capitale s ociale è d i euro 10.000,00  (diecimila/00)</t>
  </si>
  <si>
    <t xml:space="preserve">diviso in quote. </t>
  </si>
  <si>
    <t>---------------------------------------- CHUNK 3 ----------------------------------------</t>
  </si>
  <si>
    <t>diviso in quote.</t>
  </si>
  <si>
    <t>5.2 S alvo i l c aso d i c ui a ll'articolo 2 482 t er c .c., g li</t>
  </si>
  <si>
    <t>aumenti d el c apitale p ossono e ssere a ttuati a nche m ediante</t>
  </si>
  <si>
    <t>offerta di partecipazioni di nuova emissione a terzi; in tal</t>
  </si>
  <si>
    <t>caso, spetta ai soci che non hanno concorso alla decisione</t>
  </si>
  <si>
    <t>il diritto di recesso a norma dell'articolo 2473 c.c.</t>
  </si>
  <si>
    <t>5.3 Esso potrà essere aumentato anche mediante conferimenti</t>
  </si>
  <si>
    <t>in natura di beni, crediti, prestazione d'opera o di servizi</t>
  </si>
  <si>
    <t>e, qualsiasi cosa suscettibile di valutazione economica, nei</t>
  </si>
  <si>
    <t>limiti stabiliti dalla legge.</t>
  </si>
  <si>
    <t>La d elibera d i a umento d el c apitale d eve s tabilire l e</t>
  </si>
  <si>
    <t>modalità d el c onferimento, i n m ancanza d i q ualsiasi</t>
  </si>
  <si>
    <t>indicazione il conferimento deve farsi in denaro.</t>
  </si>
  <si>
    <t>In caso di conferimento di opera o di servizi è n ecessaria</t>
  </si>
  <si>
    <t>la p restazione d i u na p olizza d i a ssicurazione o  d i u na</t>
  </si>
  <si>
    <t>fideiussione b ancaria e  c iò a l f ine d i g arantire, p er</t>
  </si>
  <si>
    <t>l'intero valore ad essi assegnato, gli obblighi assunti dal</t>
  </si>
  <si>
    <t>socio a venti p er o ggetto l a p restazione d i o pera o  d i</t>
  </si>
  <si>
    <t xml:space="preserve">servizi; i n t al c aso l a p olizza o  la f ideiussione p ossono </t>
  </si>
  <si>
    <t>---------------------------------------- CHUNK 4 ----------------------------------------</t>
  </si>
  <si>
    <t>servizi; i n t al c aso l a p olizza o  la f ideiussione p ossono</t>
  </si>
  <si>
    <t>essere s ostituite d al s ocio c on i l v ersamento a  titolo d i</t>
  </si>
  <si>
    <t>cauzione d el c orrispondente i mporto i n d anaro p resso l a</t>
  </si>
  <si>
    <t>società.</t>
  </si>
  <si>
    <t>5.4 N el c aso d i r iduzione p er p erdite c he i ncidono s ul</t>
  </si>
  <si>
    <t>capitale s ociale p er o ltre u n t erzo, p uò e ssere o messo i l</t>
  </si>
  <si>
    <t>deposito p resso l a s ede s ociale d ella d ocumentazione</t>
  </si>
  <si>
    <t>prevista d all'articolo 2 482-bis, c omma s econdo c .c., i n</t>
  </si>
  <si>
    <t>previsione dell'assemblea ivi indicata.</t>
  </si>
  <si>
    <t>5.5 Gli eventuali finanziamenti fatti alla società dai soci</t>
  </si>
  <si>
    <t>possono e ssere p roduttivi d i i nteressi, l a c ui m isura o</t>
  </si>
  <si>
    <t>esclusione d ovrà e ssere d eterminata, d i v olta i n v olta,</t>
  </si>
  <si>
    <t>dall'assemblea d ei soci a i sensi e  per g li e ffetti di cui</t>
  </si>
  <si>
    <t>alla l egge 3 85/1993 e  s usseguente d elibera d el C ICR d el</t>
  </si>
  <si>
    <t>3.3.1994 con disposizione di attuazione pubblicata sulla GUR</t>
  </si>
  <si>
    <t>del 12.12.1994 della Banca d'Italia.</t>
  </si>
  <si>
    <t>Articolo 6 - Trasferimento partecipazioni per atto tra vivi</t>
  </si>
  <si>
    <t>6.1 N ella d izione " trasferimento p er a tto t ra v ivi"</t>
  </si>
  <si>
    <t>s'intendono c ompresi t utti i  negozi d i a lienazione, n ella</t>
  </si>
  <si>
    <t xml:space="preserve">più ampia accezione del termine qualunque sia la causa. In </t>
  </si>
  <si>
    <t>---------------------------------------- CHUNK 5 ----------------------------------------</t>
  </si>
  <si>
    <t>più ampia accezione del termine qualunque sia la causa. In</t>
  </si>
  <si>
    <t>tutti i  casi i n c ui l a n atura d el n egozio n on p reveda u n</t>
  </si>
  <si>
    <t>corrispettivo o vvero i l c orrispettivo s ia d iverso d al</t>
  </si>
  <si>
    <t>denaro, spetta ai soci comunque il diritto di prelazione da</t>
  </si>
  <si>
    <t>esercitarsi s econdo l a p rocedura i nfra d escritta, e  g li</t>
  </si>
  <si>
    <t>stessi a cquisteranno l a p artecipazione v ersando</t>
  </si>
  <si>
    <t>all'offerente l a somma d eterminata di c omune accordo o, in</t>
  </si>
  <si>
    <t>mancanza d i a ccordo, d a u n p erito i scritto a ll'ordine d ei</t>
  </si>
  <si>
    <t>Commercialisti c he v errà n ominato d al P residente d el</t>
  </si>
  <si>
    <t>Tribunale del Circondario ove ha sede la società.</t>
  </si>
  <si>
    <t>6.1.2 E' riconosciuto ai soci il diritto di prelazione sulle</t>
  </si>
  <si>
    <t>quote sociali oggetto di trasferimento per atto tra vivi.</t>
  </si>
  <si>
    <t>Tale d iritto p otrà e ssere e sercitato a  parità d i p rezzo e</t>
  </si>
  <si>
    <t>condizioni, i n m isura p roporzionale a lle q uote d a c iascuno</t>
  </si>
  <si>
    <t>già p ossedute. S empre c on a nalogo c riterio p roporzionale</t>
  </si>
  <si>
    <t>saranno a cquisite q uelle q uote ( o f razioni d i e sse)</t>
  </si>
  <si>
    <t>eventualmente i noptate. P er r endere p ossibile l 'esercizio</t>
  </si>
  <si>
    <t xml:space="preserve">del suddetto diritto di prelazione è fissata la procedura di </t>
  </si>
  <si>
    <t>---------------------------------------- CHUNK 6 ----------------------------------------</t>
  </si>
  <si>
    <t>del suddetto diritto di prelazione è fissata la procedura di</t>
  </si>
  <si>
    <t>cui infra, fermo il principio che viene attribuita natura ed</t>
  </si>
  <si>
    <t>efficacia d i " proposta c ontrattuale" a lla c omunicazione</t>
  </si>
  <si>
    <t>inviata ai soci ai fini dell'esercizio del suddetto diritto,</t>
  </si>
  <si>
    <t>e ciò in tutti i casi, e dunque sia allorché la proposta  di</t>
  </si>
  <si>
    <t>vendita v enga d irettamente f ormulata d al t itolare d ella</t>
  </si>
  <si>
    <t>quota, s ia n el c aso i n c ui q uesti c omunichi a i s oci u na</t>
  </si>
  <si>
    <t>proposta formulata da terzi.</t>
  </si>
  <si>
    <t>Al f ine d i r endere p ossibile l 'esercizio d i t ale d iritto,</t>
  </si>
  <si>
    <t>viene fissata la seguente procedura:</t>
  </si>
  <si>
    <t>il s ocio c he i ntenda a lienare l a p ropria q uota d i</t>
  </si>
  <si>
    <t>compartecipazione sociale, ovvero parte di essa, deve darne</t>
  </si>
  <si>
    <t>comunicazione a  t utti g li a ltri s oci m ediante l ettera</t>
  </si>
  <si>
    <t>raccomandata con ricevuta di ritorno senza busta, inviata al</t>
  </si>
  <si>
    <t>domicilio r isultante d al r egistro i mprese, i ndicando l a</t>
  </si>
  <si>
    <t>quota s ociale c he i ntende t rasferire, i l p rezzo r ichiesto,</t>
  </si>
  <si>
    <t>le m odalità di pagamento, eventuali condizioni particolari,</t>
  </si>
  <si>
    <t>nominativo dell'acquirente.</t>
  </si>
  <si>
    <t>Entro q uindici g iorni d al r icevimento d ella p redetta</t>
  </si>
  <si>
    <t xml:space="preserve">comunicazione, i soci che intendessero esercitare il diritto </t>
  </si>
  <si>
    <t>---------------------------------------- CHUNK 7 ----------------------------------------</t>
  </si>
  <si>
    <t>comunicazione, i soci che intendessero esercitare il diritto</t>
  </si>
  <si>
    <t>di p relazione d ovranno, a  l oro v olta, c omunicare a l</t>
  </si>
  <si>
    <t>proponente tale loro irrevocabile decisione a m ezzo lettera</t>
  </si>
  <si>
    <t>raccomandata c on r icevuta d i r itorno s enza b usta; a  t ale</t>
  </si>
  <si>
    <t>comunicazione v iene s in d 'ora a ttribuita n atura d i</t>
  </si>
  <si>
    <t>accettazione d ell'offerta, e d i n t ale c aso l a c essione</t>
  </si>
  <si>
    <t>della p artecipazione d ovrà e ssere f ormalizzata e ntro</t>
  </si>
  <si>
    <t>quindici giorni da tale data.</t>
  </si>
  <si>
    <t>6.1.3 N ell'ipotesi d i t rasferimento e seguito s enza</t>
  </si>
  <si>
    <t>l'osservanza d i quanto di seguito prescritto, l'acquirente,</t>
  </si>
  <si>
    <t>non s arà l egittimato a ll'esercizio d el v oto e  d egli a ltri</t>
  </si>
  <si>
    <t>diritti a mministrativi e , n on p otrà a lienare l a</t>
  </si>
  <si>
    <t>partecipazione con effetto verso la società.</t>
  </si>
  <si>
    <t>6.2.1 I l s ocio o  i  s oci c he d ichiareranno d i v oler</t>
  </si>
  <si>
    <t>esercitare il diritto di prelazione, ove ritengano il prezzo</t>
  </si>
  <si>
    <t>richiesto sia eccessivo, avranno diritto di richiedere entro</t>
  </si>
  <si>
    <t>trenta g iorni a  p ena d i d ecadenza c he d etto p rezzo s ia</t>
  </si>
  <si>
    <t>determinato d a u n e sperto n ominato d al P residente d el</t>
  </si>
  <si>
    <t xml:space="preserve">Tribunale del circondario ove ha sede la società. </t>
  </si>
  <si>
    <t>---------------------------------------- CHUNK 8 ----------------------------------------</t>
  </si>
  <si>
    <t>Tribunale del circondario ove ha sede la società.</t>
  </si>
  <si>
    <t>6.2.2 Il diritto di prelazione spetta ai soci anche quando</t>
  </si>
  <si>
    <t>si i ntenda t rasferire l a n uda p roprietà d ella</t>
  </si>
  <si>
    <t>partecipazione. Il  diritto di prelazione non spetta per il</t>
  </si>
  <si>
    <t>caso di costituzione di pegno od usufrutto.</t>
  </si>
  <si>
    <t>6.3 Le quote sono trasferibili liberamente solo nei seguenti</t>
  </si>
  <si>
    <t>casi:</t>
  </si>
  <si>
    <t>a) in caso di socio persona fisica: a favore del coniuge del</t>
  </si>
  <si>
    <t>socio cedente, dei suoi parenti in linea retta o collaterali</t>
  </si>
  <si>
    <t>entro il secondo grado;</t>
  </si>
  <si>
    <t>b) in caso di socio persona giuridica: a f avore di società</t>
  </si>
  <si>
    <t>facenti p arte d ello s tesso g ruppo. S i i ntende p er f acente</t>
  </si>
  <si>
    <t>parte dello stesso gruppo qualsiasi società, direttamente o</t>
  </si>
  <si>
    <t>indirettamente c ontrollante l a s ocietà s ocia o  c ontrollata</t>
  </si>
  <si>
    <t>dalla società socia o c ontrollata dalla stessa controllante:</t>
  </si>
  <si>
    <t>tutto ciò ai sensi dell'art.2359 n.1 e n.3 c.c.</t>
  </si>
  <si>
    <t>c) i n c aso d i i ntestazione a  s ocietà f iduciaria o  d i s ua</t>
  </si>
  <si>
    <t>reintestazione d a p arte d ella s tessa f iduciaria ( previa</t>
  </si>
  <si>
    <t>esibizione d el m andato f iduciario) a gli e ffettivi</t>
  </si>
  <si>
    <t>proprietari.</t>
  </si>
  <si>
    <t>Articolo 7 - Morte del socio</t>
  </si>
  <si>
    <t xml:space="preserve">Nel c aso d i m orte d i u no d ei s oci, g li e redi d el s ocio </t>
  </si>
  <si>
    <t>---------------------------------------- CHUNK 9 ----------------------------------------</t>
  </si>
  <si>
    <t>Nel c aso d i m orte d i u no d ei s oci, g li e redi d el s ocio</t>
  </si>
  <si>
    <t>defunto h anno l a f acoltà d i s ubentrare n ella s ocietà o  d i</t>
  </si>
  <si>
    <t>chiedere la liquidazione della quota di pertinenza del socio</t>
  </si>
  <si>
    <t>defunto, p erò c on l 'obbligo d i f are c onoscere, c omunque,</t>
  </si>
  <si>
    <t>tale l oro d eterminazione a gli a ltri s oci, e ntro t re m esi</t>
  </si>
  <si>
    <t>dalla morte del loro dante causa. Trascorso infruttuosamente</t>
  </si>
  <si>
    <t>detto termine, l'assemblea dei soci adotterà i p rovvedimenti</t>
  </si>
  <si>
    <t>che r iterrà p iù o pportuni n ell'interesse d ella s ocietà, e</t>
  </si>
  <si>
    <t>gli e redi s aranno o bbligati a d u niformarvisi, s enza</t>
  </si>
  <si>
    <t>eccezione o  r iserva a lcuna, e ssendo d ecaduti d a o gni</t>
  </si>
  <si>
    <t>conseguente azione al riguardo.</t>
  </si>
  <si>
    <t>Se si procederà alla liquidazione della quota e degli utili</t>
  </si>
  <si>
    <t>spettanti a l s ocio d efunto, e ssa l iquidazione d ovrà e ssere</t>
  </si>
  <si>
    <t>effettuata per un terzo entro un anno dal decesso e, per i</t>
  </si>
  <si>
    <t>restanti due terzi entro i d ue anni successivi al decesso.</t>
  </si>
  <si>
    <t xml:space="preserve">La l iquidazione d ella q uota d ovrà e ssere e ffettuata s ulla </t>
  </si>
  <si>
    <t>---------------------------------------- CHUNK 10 ----------------------------------------</t>
  </si>
  <si>
    <t>La l iquidazione d ella q uota d ovrà e ssere e ffettuata s ulla</t>
  </si>
  <si>
    <t>scorta d el v alore d i m ercato d ella q uota a l m omento d el</t>
  </si>
  <si>
    <t>decesso. T ale c lausola, c he h a c arattere e ssenziale e d</t>
  </si>
  <si>
    <t>inderogabile, viene posta per evitare ogni controversia tra</t>
  </si>
  <si>
    <t>i soci superstiti e gli eredi del socio defunto.</t>
  </si>
  <si>
    <t>Articolo 8 - Recesso</t>
  </si>
  <si>
    <t>Hanno diritto di recedere i soci ai sensi dell'art.2473 c.c.</t>
  </si>
  <si>
    <t>spettanti al socio receduto, essa liquidazione dovrà essere</t>
  </si>
  <si>
    <t>effettuata s econdo q uanto p revisto d alla n ormativa v igente</t>
  </si>
  <si>
    <t>in materia.</t>
  </si>
  <si>
    <t>Articolo 9 - Amministratori</t>
  </si>
  <si>
    <t>9.1 La società può essere amministrata, alternativamente, su</t>
  </si>
  <si>
    <t>decisione dei soci in sede della nomina:</t>
  </si>
  <si>
    <t>a. da un amministratore unico;</t>
  </si>
  <si>
    <t>b. da un consiglio di amministrazione composto da due a nove</t>
  </si>
  <si>
    <t>membri, s econdo i l n umero d eterminato d ai s oci a l m omento</t>
  </si>
  <si>
    <t>della nomina;</t>
  </si>
  <si>
    <t>c. d a d ue o  p iù a mministratori c on p oteri c ongiunti,</t>
  </si>
  <si>
    <t>disgiunti o da esercitarsi a maggioranza.</t>
  </si>
  <si>
    <t>Qualora v engano n ominati d ue o  p iù a mministratori s enza</t>
  </si>
  <si>
    <t xml:space="preserve">alcuna i ndicazione r elativa a lle m odalità d i e sercizio d ei </t>
  </si>
  <si>
    <t>---------------------------------------- CHUNK 11 ----------------------------------------</t>
  </si>
  <si>
    <t>alcuna i ndicazione r elativa a lle m odalità d i e sercizio d ei</t>
  </si>
  <si>
    <t>poteri d i a mministrazione, s i i ntende c ostituito u n</t>
  </si>
  <si>
    <t>consiglio di amministrazione.</t>
  </si>
  <si>
    <t>9.2 Gli amministratori possono essere anche non soci.</t>
  </si>
  <si>
    <t>9.3 N on s i a pplica a gli a mministratori i l d ivieto d i</t>
  </si>
  <si>
    <t>concorrenza di cui all' articolo 2390 c.c.</t>
  </si>
  <si>
    <t>Articolo 10 - Durata della carica, revoca, cessazione</t>
  </si>
  <si>
    <t>10.1 G li a mministratori r estano i n c arica f ino a  revoca o</t>
  </si>
  <si>
    <t>dimissioni o p er il periodo determinato dai soci al momento</t>
  </si>
  <si>
    <t>della nomina.</t>
  </si>
  <si>
    <t>10.2 Gli amministratori sono rieleggibili.</t>
  </si>
  <si>
    <t>10.3.1 L a c essazione d egli a mministratori p er s cadenza d el</t>
  </si>
  <si>
    <t>termine h a e ffetto d al m omento i n c ui i l n uovo o rgano</t>
  </si>
  <si>
    <t>amministrativo è stato ricostituito.</t>
  </si>
  <si>
    <t>10.3.2 S alvo q uanto p revisto a l s uccessivo c omma, s e n el</t>
  </si>
  <si>
    <t>corso d ell'esercizio v engono a  m ancare u no o  p iù</t>
  </si>
  <si>
    <t>amministratori g li a ltri p rovvedono a  s ostituirli; g li</t>
  </si>
  <si>
    <t>amministratori c osì n ominati r estano i n c arica s ino a lla</t>
  </si>
  <si>
    <t>prossima assemblea.</t>
  </si>
  <si>
    <t>10.3.3 Nel caso di nomina del consiglio di amministrazione,</t>
  </si>
  <si>
    <t>se per qualsiasi causa viene meno la metà dei consiglieri,</t>
  </si>
  <si>
    <t xml:space="preserve">in c aso di n umero pari, o  la m aggioranza d egli stessi, in </t>
  </si>
  <si>
    <t>---------------------------------------- CHUNK 12 ----------------------------------------</t>
  </si>
  <si>
    <t>in c aso di n umero pari, o  la m aggioranza d egli stessi, in</t>
  </si>
  <si>
    <t>caso di numero dispari, si applica l'articolo 2386 c.c.</t>
  </si>
  <si>
    <t>Articolo 11 - Consiglio di amministrazione e adunanze</t>
  </si>
  <si>
    <t>11.1 Q ualora n on v i a bbiano p rovveduto i  s oci a l m omento</t>
  </si>
  <si>
    <t>della n omina, il c onsiglio di a mministrazione e legge fra i</t>
  </si>
  <si>
    <t>suoi membri un presidente.</t>
  </si>
  <si>
    <t>11.2 I n c aso d i r ichiesta d i d ue a mministratori, i l</t>
  </si>
  <si>
    <t>consiglio d i a mministrazione d eve d eliberare i n a dunanza</t>
  </si>
  <si>
    <t>collegiale.</t>
  </si>
  <si>
    <t>11.3 I n q uesto c aso i l p residente c onvoca i l c onsiglio d i</t>
  </si>
  <si>
    <t>amministrazione, ne fissa l'ordine del giorno, ne coordina i</t>
  </si>
  <si>
    <t>lavori e  provvede a ffinché t utti g li a mministratori s iano</t>
  </si>
  <si>
    <t>adeguatamente informati sulle materie da trattare.</t>
  </si>
  <si>
    <t>11.4 La convocazione avviene mediante avviso spedito a tutti</t>
  </si>
  <si>
    <t>gli a mministratori, s indaci e ffettivi e  r evisore, s e</t>
  </si>
  <si>
    <t>nominati, con qualsiasi mezzo idoneo ad assicurare la prova</t>
  </si>
  <si>
    <t>dell'avvenuto r icevimento, a  t al f ine s i r itengono m ezzi</t>
  </si>
  <si>
    <t>idonei l 'invio a  mezzo f ax e d a  m ezzo p osta e lettronica.</t>
  </si>
  <si>
    <t xml:space="preserve">L'avviso d eve e ssere s pedito a lmeno o tto g iorni p rima </t>
  </si>
  <si>
    <t>---------------------------------------- CHUNK 13 ----------------------------------------</t>
  </si>
  <si>
    <t>L'avviso d eve e ssere s pedito a lmeno o tto g iorni p rima</t>
  </si>
  <si>
    <t>dell'adunanza e, in caso di urgenza, almeno due giorni prima.</t>
  </si>
  <si>
    <t>Nell'avviso vengono fissati la data, il luogo e l'ora della</t>
  </si>
  <si>
    <t>riunione, nonchè l'ordine del giorno.</t>
  </si>
  <si>
    <t>11.5 Il consiglio si raduna presso la sede sociale o a nche</t>
  </si>
  <si>
    <t>altrove, purchè in Italia.</t>
  </si>
  <si>
    <t>11.6 Le adunanze del consiglio e le sue deliberazioni sono</t>
  </si>
  <si>
    <t>valide, a nche s enza c onvocazione f ormale, q uando</t>
  </si>
  <si>
    <t>intervengono t utti i  c onsiglieri i n c arica e d i  s indaci</t>
  </si>
  <si>
    <t>effettivi se nominati.</t>
  </si>
  <si>
    <t>11.7 Le deliberazioni del consiglio di amministrazione sono</t>
  </si>
  <si>
    <t>prese c on i l v oto d ella m aggioranza d ei s uoi m embri i n</t>
  </si>
  <si>
    <t>carica.</t>
  </si>
  <si>
    <t>11.8 Delle deliberazioni della seduta si redigerà un verbale</t>
  </si>
  <si>
    <t>firmato d al p residente e  d al s egretario s e n ominato c he</t>
  </si>
  <si>
    <t>dovrà e ssere t rascritto n el l ibro d elle d ecisioni d egli</t>
  </si>
  <si>
    <t>amministratori.</t>
  </si>
  <si>
    <t>11.9 Il c onsiglio p uò r iunirsi e  v alidamente d eliberare</t>
  </si>
  <si>
    <t>anche mediante mezzi di telecomunicazione, purchè sussistano</t>
  </si>
  <si>
    <t>le garanzie previste in materia di assemblea.</t>
  </si>
  <si>
    <t>Articolo 12 - Poteri dell'organo amministrativo</t>
  </si>
  <si>
    <t>12.1 L 'amministratore o  i l c onsiglio è  i nvestito d ei p iù</t>
  </si>
  <si>
    <t xml:space="preserve">ampi poteri per la gestione ordinaria e straordinaria della </t>
  </si>
  <si>
    <t>---------------------------------------- CHUNK 14 ----------------------------------------</t>
  </si>
  <si>
    <t>ampi poteri per la gestione ordinaria e straordinaria della</t>
  </si>
  <si>
    <t>società ed ha facoltà di compiere tutti gli atti necessari</t>
  </si>
  <si>
    <t>ed o pportuni p er l 'attuazione e d i l r aggiungimento</t>
  </si>
  <si>
    <t>dell'oggetto s ociale, e sclusi s oltanto q uelli c he l a l egge</t>
  </si>
  <si>
    <t>riserva all'assemblea dei soci in forma inderogabile.</t>
  </si>
  <si>
    <t>12.2 N el c aso d i n omina d el c onsiglio d i a mministrazione,</t>
  </si>
  <si>
    <t>questo p uò d elegare t utti o  p arte d ei s uoi p oteri a d u n</t>
  </si>
  <si>
    <t>comitato e secutivo c omposto d a a lcuni d ei s uoi c omponenti,</t>
  </si>
  <si>
    <t>ovvero a d u no o  p iù d ei s uoi c omponenti, a nche</t>
  </si>
  <si>
    <t>disgiuntamente. In questo caso si applicano le disposizioni</t>
  </si>
  <si>
    <t>contenute n ei c ommi t erzo, q uinto e  s esto d ell' a rticolo</t>
  </si>
  <si>
    <t>2381 c .c. N on p ossono e ssere d elegate l e a ttribuzioni</t>
  </si>
  <si>
    <t>indicate nell'articolo 2475, comma quinto c.c.</t>
  </si>
  <si>
    <t>12.3 Nel caso di consiglio di amministrazione formato da due</t>
  </si>
  <si>
    <t>membri, qualora gli amministratori non siano d'accordo circa</t>
  </si>
  <si>
    <t>la e ventuale r evoca d i u no d egli a mministratori d elegati,</t>
  </si>
  <si>
    <t xml:space="preserve">entrambi i  m embri d el c onsiglio d ecadono d alla c arica e </t>
  </si>
  <si>
    <t>---------------------------------------- CHUNK 15 ----------------------------------------</t>
  </si>
  <si>
    <t>entrambi i  m embri d el c onsiglio d ecadono d alla c arica e</t>
  </si>
  <si>
    <t>devono e ntro 3 0 ( trenta) g iorni s ottoporre a lla d ecisione</t>
  </si>
  <si>
    <t>dei soci la nomina di un nuovo organo amministrativo.</t>
  </si>
  <si>
    <t>12.4 N el c aso d i n omina d i p iù a mministratori, a l m omento</t>
  </si>
  <si>
    <t>della n omina i  p oteri d i a mministrazione p ossono e ssere</t>
  </si>
  <si>
    <t>attribuiti a gli s tessi c ongiuntamente, d isgiuntamente o  a</t>
  </si>
  <si>
    <t>maggioranza, ovvero alcuni poteri di amministrazione possono</t>
  </si>
  <si>
    <t>essere attribuiti in via disgiunta e altri in via congiunta.</t>
  </si>
  <si>
    <t>In m ancanza d i q ualsiasi p recisazione n ell'atto d i n omina,</t>
  </si>
  <si>
    <t>in o rdine a lle m odalità d i e sercizio d ei p oteri d i</t>
  </si>
  <si>
    <t>amministrazione, d etti p oteri s i i ntendono a ttribuiti a gli</t>
  </si>
  <si>
    <t>amministratori congiuntamente.</t>
  </si>
  <si>
    <t>Nel c aso d i a mministrazione c ongiunta, i  s ingoli</t>
  </si>
  <si>
    <t>amministratori non possono compiere alcuna operazione, salvi</t>
  </si>
  <si>
    <t>i c asi i n c ui s i r enda n ecessario a gire c on u rgenza p er</t>
  </si>
  <si>
    <t>evitare un danno alla società.</t>
  </si>
  <si>
    <t>12.5 Possono e ssere n ominati d irettori, i nstitori o</t>
  </si>
  <si>
    <t>procuratori p er i l c ompimento d i d eterminati a tti o</t>
  </si>
  <si>
    <t xml:space="preserve">categorie di atti, determinandone i poteri. </t>
  </si>
  <si>
    <t>---------------------------------------- CHUNK 16 ----------------------------------------</t>
  </si>
  <si>
    <t>categorie di atti, determinandone i poteri.</t>
  </si>
  <si>
    <t>12.6 Qualora l'amministrazione sia affidata disgiuntamente a</t>
  </si>
  <si>
    <t>più a mministratori, i n c aso d i o pposizione d i u n</t>
  </si>
  <si>
    <t>amministratore all'operazione che un altro intende compiere,</t>
  </si>
  <si>
    <t>competenti a decidere sull'opposizione sono i soci.</t>
  </si>
  <si>
    <t>Articolo 13 - Rappresentanza</t>
  </si>
  <si>
    <t>13.1 L'amministratore u nico h a l a r appresentanza d ella</t>
  </si>
  <si>
    <t>13.2 In caso di nomina del consiglio di amministrazione, la</t>
  </si>
  <si>
    <t>rappresentanza d ella s ocietà s petta a l p residente d el</t>
  </si>
  <si>
    <t>consiglio d i a mministrazione e d a i s ingoli c onsiglieri</t>
  </si>
  <si>
    <t>delegati anche per singoli atti, se nominati.</t>
  </si>
  <si>
    <t>13.3 Nel c aso d i n omina d i p iù a mministratori, l a</t>
  </si>
  <si>
    <t>rappresentanza d ella s ocietà s petta a gli s tessi</t>
  </si>
  <si>
    <t>congiuntamente o  d isgiuntamente, a llo s tesso m odo i n c ui</t>
  </si>
  <si>
    <t>sono s tati a ttribuiti i n s ede d i n omina i  p oteri d i</t>
  </si>
  <si>
    <t>amministrazione.</t>
  </si>
  <si>
    <t>13.4 La r appresentanza d ella s ocietà s petta a nche a i</t>
  </si>
  <si>
    <t>direttori, a gli institori e  ai p rocuratori, nei limiti dei</t>
  </si>
  <si>
    <t>poteri loro conferiti nell'atto di nomina.</t>
  </si>
  <si>
    <t xml:space="preserve">Articolo 14 - Compensi degli amministratori </t>
  </si>
  <si>
    <t>---------------------------------------- CHUNK 17 ----------------------------------------</t>
  </si>
  <si>
    <t>Articolo 14 - Compensi degli amministratori</t>
  </si>
  <si>
    <t>14.1 Agli a mministratori s petta i l r imborso d elle s pese</t>
  </si>
  <si>
    <t>sostenute per ragioni del loro ufficio.</t>
  </si>
  <si>
    <t>14.2 I s oci p ossono i noltre a ssegnare a gli a mministratori</t>
  </si>
  <si>
    <t>un'indennità a nnuale i n m isura f issa, o vvero u n c ompenso</t>
  </si>
  <si>
    <t>proporzionale a gli u tili n etti d i e sercizio, n onché</t>
  </si>
  <si>
    <t>determinare u n'indennità p er l a c essazione d alla c arica e</t>
  </si>
  <si>
    <t>deliberare l 'accantonamento p er i l r elativo f ondo d i</t>
  </si>
  <si>
    <t>quiescenza con modalità stabilite con decisione dei soci.</t>
  </si>
  <si>
    <t>14.3 In c aso d i n omina d i u n c omitato e secutivo o  d i</t>
  </si>
  <si>
    <t>consiglieri d elegati, i l l oro c ompenso è  s tabilito d al</t>
  </si>
  <si>
    <t>consiglio di amministrazione al momento della nomina.</t>
  </si>
  <si>
    <t>Articolo 15 - Organo di controllo</t>
  </si>
  <si>
    <t>15.1 Quando i  s oci n e r avvisino l 'opportunità p ossono</t>
  </si>
  <si>
    <t>nominare un organo di controllo o un revisore.</t>
  </si>
  <si>
    <t>La n omina d ell'organo d i c ontrollo o  d el r evisore è</t>
  </si>
  <si>
    <t>obbligatoria nei casi previsti dalla legge.</t>
  </si>
  <si>
    <t>L'organo d i c ontrollo è  c omposto, a lternativamente, s u</t>
  </si>
  <si>
    <t xml:space="preserve">decisione dei soci in sede di nomina, da un membro effettivo </t>
  </si>
  <si>
    <t>---------------------------------------- CHUNK 18 ----------------------------------------</t>
  </si>
  <si>
    <t>decisione dei soci in sede di nomina, da un membro effettivo</t>
  </si>
  <si>
    <t>o d a u n c ollegio, c omposto d a t re m embri e ffettivi e  due</t>
  </si>
  <si>
    <t>supplenti.</t>
  </si>
  <si>
    <t>15.2 N el c aso d i n omina d i u n o rgano d i c ontrollo, a nche</t>
  </si>
  <si>
    <t>monocratico, s i a pplicano l e d isposizioni s ul c ollegio</t>
  </si>
  <si>
    <t>sindacale per le società per azioni. L'organo di controllo o</t>
  </si>
  <si>
    <t>il r evisore d evono p ossedere i  r equisiti e d h anno l e</t>
  </si>
  <si>
    <t>competenze e d i  p oteri p revisti d alle d isposizioni s ul</t>
  </si>
  <si>
    <t>collegio sindacale previste per le società per azioni.</t>
  </si>
  <si>
    <t>15.3 L a r evisione l egale d ei  c onti d ella s ocietà v iene</t>
  </si>
  <si>
    <t>esercitata, a  d iscrezione d ei s oci e  s alvo i nderogabili</t>
  </si>
  <si>
    <t>disposizioni d i l egge, d a u n r evisore l egale o  d a u na</t>
  </si>
  <si>
    <t>società di revisione legale iscritti nell'apposito registro,</t>
  </si>
  <si>
    <t>ovvero dall'organo di controllo ove consentito dalla legge.</t>
  </si>
  <si>
    <t>Le r iunioni d ell'organo  d i c ontrollo i n c omposizione</t>
  </si>
  <si>
    <t>collegiale p ossono s volgersi m ediante m ezzi d i</t>
  </si>
  <si>
    <t>telecomunicazione, n el r ispetto d i q uanto p revisto p er l e</t>
  </si>
  <si>
    <t xml:space="preserve">riunioni del consiglio di amministrazione. </t>
  </si>
  <si>
    <t>---------------------------------------- CHUNK 19 ----------------------------------------</t>
  </si>
  <si>
    <t>riunioni del consiglio di amministrazione.</t>
  </si>
  <si>
    <t>Articolo 16 - Decisioni dei soci</t>
  </si>
  <si>
    <t>16.1 I s oci d ecidono s ulle m aterie r iservate a lla l oro</t>
  </si>
  <si>
    <t>competenza d alla l egge, d al p resente s tatuto, n onché s ugli</t>
  </si>
  <si>
    <t>argomenti c he u no o  p iù a mministratori o  t anti s oci c he</t>
  </si>
  <si>
    <t>rappresentano a lmeno u n t erzo d el c apitale s ociale</t>
  </si>
  <si>
    <t>sottopongono alla loro approvazione.</t>
  </si>
  <si>
    <t>16.2 Non è  n ecessaria l a d ecisione d ei s oci c he a utorizzi</t>
  </si>
  <si>
    <t>l'acquisto da parte della società, per un corrispettivo pari</t>
  </si>
  <si>
    <t>o s uperiore a l d ecimo d el c apitale s ociale, d i b eni o  di</t>
  </si>
  <si>
    <t>crediti dei soci fondatori, dei soci e degli amministratori,</t>
  </si>
  <si>
    <t>nei d ue a nni d alla i scrizione d ella s ocietà n el r egistro</t>
  </si>
  <si>
    <t>delle imprese.</t>
  </si>
  <si>
    <t>16.3 Salvo q uanto p revisto a l p rimo c omma d el s uccessivo</t>
  </si>
  <si>
    <t>articolo 18, le decisioni che per legge ovvero in forza del</t>
  </si>
  <si>
    <t>presente S tatuto n on d evono e ssere a dottate c on</t>
  </si>
  <si>
    <t>deliberazione a ssembleare p ossono e ssere a ssunte m ediante</t>
  </si>
  <si>
    <t>consultazione scritta dei soci.</t>
  </si>
  <si>
    <t>Possono p artecipare a l p rocedimento d i d ecisione t utti i</t>
  </si>
  <si>
    <t xml:space="preserve">soci aventi diritto di voto. </t>
  </si>
  <si>
    <t>---------------------------------------- CHUNK 20 ----------------------------------------</t>
  </si>
  <si>
    <t>soci aventi diritto di voto.</t>
  </si>
  <si>
    <t>Il d ocumento c ontenente l 'indicazione d ell'oggetto i n</t>
  </si>
  <si>
    <t>relazione a l q uale s i r ichiede l a d ecisione d ei s oci, c on</t>
  </si>
  <si>
    <t>l'eventuale i ndicazione d i p roposte t ra l oro a lternative,</t>
  </si>
  <si>
    <t>viene inviato, a cura dell'Organo Amministrativo, a ciascun</t>
  </si>
  <si>
    <t>socio nel domicilio risultante dal registro imprese, nonchè</t>
  </si>
  <si>
    <t>agli a mministratori non s oci ed a ll'Organo d i Controllo se</t>
  </si>
  <si>
    <t>nominato, m ediante l ettera r accomandata A .R. o vvero c on</t>
  </si>
  <si>
    <t>qualsiasi altro mezzo che garantisca la prova dell'avvenuto</t>
  </si>
  <si>
    <t>ricevimento.</t>
  </si>
  <si>
    <t>Entro i l t ermine d i g iorni q uindici d al r icevimento d ella</t>
  </si>
  <si>
    <t>suddetta p roposta, c iascun s ocio d eve, c on l e m odalità d i</t>
  </si>
  <si>
    <t>cui a l c omma p recedente, f ar p ervenire p resso l a s ede</t>
  </si>
  <si>
    <t>sociale u n documento, d a lui s tesso datato e  sottoscritto,</t>
  </si>
  <si>
    <t>dal q uale r isulti c on c hiarezza l 'argomento o ggetto d ella</t>
  </si>
  <si>
    <t>decisione e l a posizione espressa sulla stessa. Tra la data</t>
  </si>
  <si>
    <t>della p rima e  q uella d ell'ultima s ottoscrizione n on p uò</t>
  </si>
  <si>
    <t>intercorrere un periodo superiore ad otto giorni.</t>
  </si>
  <si>
    <t xml:space="preserve">La decisione si reputa validamente adottata qualora entro il </t>
  </si>
  <si>
    <t>---------------------------------------- CHUNK 21 ----------------------------------------</t>
  </si>
  <si>
    <t>La decisione si reputa validamente adottata qualora entro il</t>
  </si>
  <si>
    <t>termine di cui al precedente comma pervenga alla società il</t>
  </si>
  <si>
    <t>consenso d i u na m aggioranza c he r appresenti a lmeno i l</t>
  </si>
  <si>
    <t>cinquantuno p er c ento d el c apitale e  v iene c omunicata a i</t>
  </si>
  <si>
    <t>soci a cura dell'Organo Amministrativo.</t>
  </si>
  <si>
    <t>L'Organo A mministrativo p rovvederà a  r edigere a pposito</t>
  </si>
  <si>
    <t>verbale, d a i nserirsi n el l ibro d elle d ecisioni d ei s oci,</t>
  </si>
  <si>
    <t>dal q uale d ovrà r isultare l 'argomento o ggetto d ella</t>
  </si>
  <si>
    <t>decisione, l e r isultanze d ella m edesima, l 'indicazione d ei</t>
  </si>
  <si>
    <t>soci favorevoli, contrari e/o astenuti e, su richiesta degli</t>
  </si>
  <si>
    <t>stessi, l'indicazione del motivo della loro decisione. Copia</t>
  </si>
  <si>
    <t>del v erbale verrà t rasmessa a t utti i s oci e , se previsto</t>
  </si>
  <si>
    <t>dalla l egge, v errà d epositata p er l 'iscrizione a l R egistro</t>
  </si>
  <si>
    <t>Imprese.</t>
  </si>
  <si>
    <t>16.4 Le decisioni che per legge ovvero in forza del presente</t>
  </si>
  <si>
    <t>Statuto n on d evono e ssere a dottate c on d eliberazione</t>
  </si>
  <si>
    <t>assembleare p ossono e ssere a ssunte m ediante c onsenso</t>
  </si>
  <si>
    <t>espresso per iscritto dai soci.</t>
  </si>
  <si>
    <t xml:space="preserve">Ciascun s ocio, i n a ssenza d i p reventiva c onsultazione, p uò </t>
  </si>
  <si>
    <t>---------------------------------------- CHUNK 22 ----------------------------------------</t>
  </si>
  <si>
    <t>Ciascun s ocio, i n a ssenza d i p reventiva c onsultazione, p uò</t>
  </si>
  <si>
    <t>sottoporre a gli a ltri s oci u n d eterminato a rgomento s ul</t>
  </si>
  <si>
    <t>quale la volontà sociale si forma attraverso la progressiva</t>
  </si>
  <si>
    <t>raccolta d ei c onsensi d i c iascuno o vvero a ttraverso l a</t>
  </si>
  <si>
    <t>sottoscrizione, da parte di tutti i soci consenzienti, di un</t>
  </si>
  <si>
    <t>unico d ocumento r edatto a  c ura d el s ocio p roponente e</t>
  </si>
  <si>
    <t>inviato ai soci con le modalità previste dall'articolo 16.3.</t>
  </si>
  <si>
    <t>Si a pplicano a nche a  t ale p rocedura d i f ormazione d ella</t>
  </si>
  <si>
    <t>volontà s ociale l e d isposizioni d i c ui a l p recedente</t>
  </si>
  <si>
    <t>articolo 16.3.</t>
  </si>
  <si>
    <t>16.5 In c aso d i i nerzia d ell'organo a mministrativo,</t>
  </si>
  <si>
    <t>l'attivazione d el p rocedimento d ecisionale e xtra</t>
  </si>
  <si>
    <t>assembleare, n onchè, la verbalizzazione del relativo esito,</t>
  </si>
  <si>
    <t>potrà essere rispettivamente promossa e/o eseguita a cura di</t>
  </si>
  <si>
    <t>ciascun socio.</t>
  </si>
  <si>
    <t>Ai f ini d el p resente c omma, l 'organo a mministrativo s i</t>
  </si>
  <si>
    <t>considererà i nerte d ecorsi g iorni q uindici d alla</t>
  </si>
  <si>
    <t>comunicazione, a  m ezzo l ettera r accomandata a .r., d ella</t>
  </si>
  <si>
    <t>richiesta d i a ttivazione d el p rocedimento e /o d alla</t>
  </si>
  <si>
    <t>richiesta di verbalizzazione del relativo esito.</t>
  </si>
  <si>
    <t xml:space="preserve">Articolo 17 - Diritto di voto </t>
  </si>
  <si>
    <t>---------------------------------------- CHUNK 23 ----------------------------------------</t>
  </si>
  <si>
    <t>Articolo 17 - Diritto di voto</t>
  </si>
  <si>
    <t>17.1 Hanno diritto di voto i soci che risultino tali secondo</t>
  </si>
  <si>
    <t>le vigenti disposizioni di legge.</t>
  </si>
  <si>
    <t>17.2 Il voto del socio vale in misura proporzionale alla sua</t>
  </si>
  <si>
    <t>partecipazione.</t>
  </si>
  <si>
    <t>Articolo 18 - Assemblea</t>
  </si>
  <si>
    <t>18.1 L'assemblea d eve e ssere c onvocata d all'organo</t>
  </si>
  <si>
    <t>amministrativo a nche f uori d alla s ede s ociale, p urchè i n</t>
  </si>
  <si>
    <t>Italia.</t>
  </si>
  <si>
    <t>In c aso d i i mpossibilità d i t utti g li a mministratori o  d i</t>
  </si>
  <si>
    <t>loro i nattività, l 'assemblea p uò e ssere c onvocata d al</t>
  </si>
  <si>
    <t>collegio s indacale, s e n ominato, o  anche d a u n s ocio n ei</t>
  </si>
  <si>
    <t>modi di legge.</t>
  </si>
  <si>
    <t>L'assemblea d eve e ssere c onvocata a lmeno u na v olta l 'anno</t>
  </si>
  <si>
    <t>per l'approvazione del bilancio.</t>
  </si>
  <si>
    <t>18.2 L'assemblea v iene c onvocata c on a vviso s pedito o tto</t>
  </si>
  <si>
    <t>giorni o, se spedito successivamente, ricevuto almeno cinque</t>
  </si>
  <si>
    <t>giorni p rima di q uello fissato p er l'adunanza, con lettera</t>
  </si>
  <si>
    <t>raccomandata, o vvero c on q ualsiasi a ltro m ezzo i doneo a d</t>
  </si>
  <si>
    <t xml:space="preserve">assicurare l a p rova d ell'avvenuto r icevimento, f atto </t>
  </si>
  <si>
    <t>---------------------------------------- CHUNK 24 ----------------------------------------</t>
  </si>
  <si>
    <t>assicurare l a p rova d ell'avvenuto r icevimento, f atto</t>
  </si>
  <si>
    <t>pervenire a gli a venti d iritto a l d omicilio r isultante d al</t>
  </si>
  <si>
    <t>registro imprese.</t>
  </si>
  <si>
    <t>Nell'avviso d i c onvocazione d evono e ssere i ndicati i l</t>
  </si>
  <si>
    <t>giorno, il luogo o la piattaforma digitale e le modalità cui</t>
  </si>
  <si>
    <t>accedere p er l a v ideoconferenza, l 'ora d ell'adunanza e</t>
  </si>
  <si>
    <t>l'elenco delle materie da trattare.</t>
  </si>
  <si>
    <t>Nell'avviso d i c onvocazione p uò e ssere p revista u na d ata</t>
  </si>
  <si>
    <t>ulteriore d i s econda c onvocazione, p er i l c aso i n c ui</t>
  </si>
  <si>
    <t>nell'adunanza prevista in prima convocazione l'assemblea non</t>
  </si>
  <si>
    <t>risulti l egalmente c ostituita; c omunque a nche i n s econda</t>
  </si>
  <si>
    <t>convocazione valgono le medesime maggioranze previste per la</t>
  </si>
  <si>
    <t>prima convocazione.</t>
  </si>
  <si>
    <t>18.3 Anche i n m ancanza d i f ormale c onvocazione l 'assemblea</t>
  </si>
  <si>
    <t>si r eputa r egolarmente c ostituita q uando a d e ssa p artecipa</t>
  </si>
  <si>
    <t>l'intero c apitale s ociale e  t utti g li a mministratori e  i</t>
  </si>
  <si>
    <t>sindaci, se nominati, sono presenti o informati e nessuno si</t>
  </si>
  <si>
    <t>oppone a lla t rattazione d ell' a rgomento. S e g li</t>
  </si>
  <si>
    <t xml:space="preserve">amministratori o  i  s indaci, s e n ominati, n on p artecipano </t>
  </si>
  <si>
    <t>---------------------------------------- CHUNK 25 ----------------------------------------</t>
  </si>
  <si>
    <t>amministratori o  i  s indaci, s e n ominati, n on p artecipano</t>
  </si>
  <si>
    <t>personalmente a ll'assemblea, d ovranno r ilasciare a pposita</t>
  </si>
  <si>
    <t>dichiarazione s critta, d a c onservarsi a gli a tti d ella</t>
  </si>
  <si>
    <t>società, n ella q uale d ichiarano d i e ssere i nformati d ella</t>
  </si>
  <si>
    <t>riunione su tutti gli argomenti posti all' ordine del giorno</t>
  </si>
  <si>
    <t>e di non opporsi alla trattazione degli stessi.</t>
  </si>
  <si>
    <t>Articolo 19 - Svolgimento dell'assemblea</t>
  </si>
  <si>
    <t>19.1 L'assemblea è p resieduta dall'amministratore unico, dal</t>
  </si>
  <si>
    <t>presidente d el c onsiglio d i a mministrazione ( nel c aso d i</t>
  </si>
  <si>
    <t>nomina d el c onsiglio d i a mministrazione) o</t>
  </si>
  <si>
    <t>dall'amministratore p iù anziano d i età ( nel c aso di nomina</t>
  </si>
  <si>
    <t>di più amministratori con poteri disgiunti o congiunti). In</t>
  </si>
  <si>
    <t>caso d i a ssenza o  d i i mpedimento d i q uesti, l 'assemblea è</t>
  </si>
  <si>
    <t>presieduta dalla persona designata dagli intervenuti.</t>
  </si>
  <si>
    <t>19.2 L'assemblea dei soci può svolgersi anche in più luoghi,</t>
  </si>
  <si>
    <t>audio e  o  video c ollegati, o  s e c onsentito d alle v igenti</t>
  </si>
  <si>
    <t>norme d i l egge e /o d alle i nterpretazioni d elle s tesse,</t>
  </si>
  <si>
    <t xml:space="preserve">tramite piattaforme digitali di videoconferenza, e c iò alle </t>
  </si>
  <si>
    <t>---------------------------------------- CHUNK 26 ----------------------------------------</t>
  </si>
  <si>
    <t>tramite piattaforme digitali di videoconferenza, e c iò alle</t>
  </si>
  <si>
    <t>seguenti c ondizioni, delle q uali deve e ssere d ato atto nei</t>
  </si>
  <si>
    <t>relativi verbali:</t>
  </si>
  <si>
    <t>segretario della riunione se nominato che provvederanno alla</t>
  </si>
  <si>
    <t>formazione e sottoscrizione del verbale, fatta salva diversa</t>
  </si>
  <si>
    <t>previsione n ormativa e /o i nterpretazione c he c onsenta l a</t>
  </si>
  <si>
    <t>presenza di tali soggetti in diversi luoghi video collegati;</t>
  </si>
  <si>
    <t>- c he s ia c onsentito a l p residente d ell'assemblea d i</t>
  </si>
  <si>
    <t>accertare l 'identità e  la legittimazione degli intervenuti,</t>
  </si>
  <si>
    <t>regolare l o s volgimento d ell'adunanza, c onstatare e</t>
  </si>
  <si>
    <t>proclamare i risultati della votazione;</t>
  </si>
  <si>
    <t>adeguatamente g li e venti a ssembleari o ggetto d i</t>
  </si>
  <si>
    <t>verbalizzazione;</t>
  </si>
  <si>
    <t>- c he s ia c onsentito a gli i ntervenuti d i p artecipare a lla</t>
  </si>
  <si>
    <t>discussione e d a lla v otazione s imultanea s ugli a rgomenti</t>
  </si>
  <si>
    <t>all'ordine d el g iorno, n onché d i v isionare, r icevere o</t>
  </si>
  <si>
    <t>trasmettere documenti;</t>
  </si>
  <si>
    <t>- c he s iano i ndicati n ell'avviso d i c onvocazione l a</t>
  </si>
  <si>
    <t>piattaforma d igitale e  l e m odalità c ui a ccedere p er l o</t>
  </si>
  <si>
    <t xml:space="preserve">svolgimento d ell'assemblea i n v ideoconferenza, o  i n </t>
  </si>
  <si>
    <t>---------------------------------------- CHUNK 27 ----------------------------------------</t>
  </si>
  <si>
    <t>svolgimento d ell'assemblea i n v ideoconferenza, o  i n</t>
  </si>
  <si>
    <t>alternativa i luoghi audio e o video collegati a cura della</t>
  </si>
  <si>
    <t>società, n ei q uali g li i ntervenuti p otranno a ffluire,</t>
  </si>
  <si>
    <t>dovendosi r itenere s volta l a r iunione n el l uogo o ve s arà</t>
  </si>
  <si>
    <t>presente il presidente, o ove saranno presenti il presidente</t>
  </si>
  <si>
    <t>ed il segretario, se nominato, o ove sarà presente il Notaio</t>
  </si>
  <si>
    <t>in caso di sua verbalizzazione.</t>
  </si>
  <si>
    <t>In tutti i luoghi audio e o v ideo collegati in cui si tiene</t>
  </si>
  <si>
    <t>la r iunione d ovrà e ssere p redisposto i l f oglio d elle</t>
  </si>
  <si>
    <t>presenze, m entre c iò n on s arà n ecessario i n c aso d i</t>
  </si>
  <si>
    <t>assemblea s volta t ramite p iattaforme d igitali d i</t>
  </si>
  <si>
    <t>videoconferenza.</t>
  </si>
  <si>
    <t>Articolo 20 - Deleghe</t>
  </si>
  <si>
    <t>20.1 Ogni s ocio c he a bbia d iritto d i i ntervenire</t>
  </si>
  <si>
    <t>all'assemblea può farsi rappresentare anche da soggetto non</t>
  </si>
  <si>
    <t>socio p er delega s critta, che d eve essere conservata dalla</t>
  </si>
  <si>
    <t>società. N ella d elega d eve e ssere s pecificato i l n ome d el</t>
  </si>
  <si>
    <t>rappresentante c on l 'indicazione d i e ventuali f acoltà e</t>
  </si>
  <si>
    <t>limiti di subdelega.</t>
  </si>
  <si>
    <t>20.2 Se la delega viene conferita per la singola assemblea</t>
  </si>
  <si>
    <t xml:space="preserve">ha effetto anche per la seconda convocazione. </t>
  </si>
  <si>
    <t>---------------------------------------- CHUNK 28 ----------------------------------------</t>
  </si>
  <si>
    <t>ha effetto anche per la seconda convocazione.</t>
  </si>
  <si>
    <t>20.3 E' ammessa anche una delega a valere per più assemblee,</t>
  </si>
  <si>
    <t>indipendentemente dal loro ordine del giorno.</t>
  </si>
  <si>
    <t>Articolo 21 - Quorum costitutivi e deliberativi</t>
  </si>
  <si>
    <t>21.1 L'assemblea è  regolarmente c ostituita c on l a p resenza</t>
  </si>
  <si>
    <t>di t anti s oci c he r appresentino a lmeno i l c inquantuno p er</t>
  </si>
  <si>
    <t>cento dell'intero capitale sociale e delibera a maggioranza</t>
  </si>
  <si>
    <t>assoluta s alvo c he n ei c asi p revisti d ai n umeri 4  e  5</t>
  </si>
  <si>
    <t>dell'art.2479 per le quali è necessaria una maggioranza che</t>
  </si>
  <si>
    <t>rappresenti a lmeno i l 5 1% ( cinquantuno p er c ento) d el</t>
  </si>
  <si>
    <t>capitale sociale.</t>
  </si>
  <si>
    <t>21.2 Restano comunque salve le altre disposizioni di legge o</t>
  </si>
  <si>
    <t>del p resente s tatuto c he, p er p articolari d ecisioni,</t>
  </si>
  <si>
    <t>richiedono diverse specifiche maggioranze.</t>
  </si>
  <si>
    <t>21.3 Nei c asi i n c ui p er l egge o  in v irtù d el p resente</t>
  </si>
  <si>
    <t>statuto i l d iritto d i v oto d ella p artecipazione è  sospeso</t>
  </si>
  <si>
    <t>(ad e sempio i n c aso d i c onflitto d i i nteresse o  d i s ocio</t>
  </si>
  <si>
    <t>moroso), si applica l'articolo 2368, comma 3 c.c.</t>
  </si>
  <si>
    <t>Articolo 22 - Bilancio e utili</t>
  </si>
  <si>
    <t xml:space="preserve">22.1 G li e sercizi s ociali s i c hiudono i l 3 1 ( trentuno) </t>
  </si>
  <si>
    <t>---------------------------------------- CHUNK 29 ----------------------------------------</t>
  </si>
  <si>
    <t>22.1 G li e sercizi s ociali s i c hiudono i l 3 1 ( trentuno)</t>
  </si>
  <si>
    <t>dicembre di ogni anno.</t>
  </si>
  <si>
    <t>22.2 Il b ilancio d eve e ssere a pprovato e ntro c entoventi</t>
  </si>
  <si>
    <t>giorni d alla c hiusura d ell'esercizio s ociale o  e ntro</t>
  </si>
  <si>
    <t>centottanta g iorni n el c aso d i e sistenza d i p articolari</t>
  </si>
  <si>
    <t>esigenze.</t>
  </si>
  <si>
    <t>22.3 Qualora i l c apitale s ociale s ia f issato i n m isura</t>
  </si>
  <si>
    <t>inferiore a d e uro 1 0.000,00 ( diecimila/00), d ovrà e ssere</t>
  </si>
  <si>
    <t>accantonata a  r iserva l egale u n i mporto p ari a d a lmeno u n</t>
  </si>
  <si>
    <t>quinto degli utili netti risultanti dal bilancio fino a che</t>
  </si>
  <si>
    <t>la r iserva s tessa n on a bbia r aggiunto, u nitamente a l</t>
  </si>
  <si>
    <t>capitale, l'ammontare di euro 10.000,00 (diecimila/00).</t>
  </si>
  <si>
    <t>La r iserva c osì f ormata p otrà e ssere u tilizzata s olo p er</t>
  </si>
  <si>
    <t>imputazione a capitale e per copertura di eventuali perdite.</t>
  </si>
  <si>
    <t>La s tessa d ovrà e ssere r eintegrata a  n orma d ell'art. 2 463</t>
  </si>
  <si>
    <t>c.c., 5° comma, in caso di diminuzione per qualsiasi ragione.</t>
  </si>
  <si>
    <t>Qualora i l c apitale s ociale s ia f issato i n m isura p ari o</t>
  </si>
  <si>
    <t xml:space="preserve">superiore ad euro 10.000,00 (diecimila/00) dagli utili netti </t>
  </si>
  <si>
    <t>---------------------------------------- CHUNK 30 ----------------------------------------</t>
  </si>
  <si>
    <t>superiore ad euro 10.000,00 (diecimila/00) dagli utili netti</t>
  </si>
  <si>
    <t>risultanti d al b ilancio, d ovrà e ssere d estinata a  riserva</t>
  </si>
  <si>
    <t>legale una quota pari al 5% (cinque per cento) degli stessi,</t>
  </si>
  <si>
    <t>fino a che questa non abbia raggiunto il quinto del capitale.</t>
  </si>
  <si>
    <t>Gli u tili r esidui v erranno r ipartiti t ra i  soci i n m isura</t>
  </si>
  <si>
    <t>proporzionale a lla p artecipazione d a c iascuno p osseduta,</t>
  </si>
  <si>
    <t>salvo diversa decisione dei soci.</t>
  </si>
  <si>
    <t>Articolo 23 - Scioglimento e liquidazione</t>
  </si>
  <si>
    <t>23.1 La s ocietà s i s cioglie p er l e c ause p reviste d alla</t>
  </si>
  <si>
    <t>legge.</t>
  </si>
  <si>
    <t>23.2 Addivenendosi i n q ualsiasi t empo, e  p er q ualsiasi</t>
  </si>
  <si>
    <t>causa, a llo s cioglimento d ella s ocietà, l 'Assemblea c on l e</t>
  </si>
  <si>
    <t>maggioranze p rescritte d alla l egge, n omina u no o  p iù</t>
  </si>
  <si>
    <t>liquidatori determinandone i poteri e precisando altresì le</t>
  </si>
  <si>
    <t>modalità d ella l iquidazione, c he p otrà a vvenire m ediante</t>
  </si>
  <si>
    <t>assegnazione ai soci di beni in natura.</t>
  </si>
  <si>
    <t>Articolo 24 - Clausola di Conciliazione</t>
  </si>
  <si>
    <t>Tutte le controversie, aventi ad oggetto diritti disponibili</t>
  </si>
  <si>
    <t>e comunque suscettibili di essere definite in via arbitrale</t>
  </si>
  <si>
    <t xml:space="preserve">o conciliativa, che dovessero sorgere tra i soci, tra i soci </t>
  </si>
  <si>
    <t>---------------------------------------- CHUNK 31 ----------------------------------------</t>
  </si>
  <si>
    <t>o conciliativa, che dovessero sorgere tra i soci, tra i soci</t>
  </si>
  <si>
    <t>e l a s ocietà, o vvero t ra i  soci e  l'organo a mministrativo</t>
  </si>
  <si>
    <t>e/o d i c ontrollo, d ovranno e ssere p reventivamente d evolute</t>
  </si>
  <si>
    <t>ad u n o rganismo d i m ediazione a ccreditato p resso i l</t>
  </si>
  <si>
    <t>Ministero d i G iustizia, i l q uale v errà s celto d i c omune</t>
  </si>
  <si>
    <t>accordo t ra le p arti entro t renta giorni a  far data dalla</t>
  </si>
  <si>
    <t>richiesta f atta d a u na d elle p arti, o vvero, i n d ifetto,</t>
  </si>
  <si>
    <t>decorso t ale p eriodo, d al P residente d el T ribunale d el</t>
  </si>
  <si>
    <t>Circondario ove ha sede la società, in conformità al d.lgs</t>
  </si>
  <si>
    <t>28/2010 e successive modifiche e/o integrazioni.</t>
  </si>
  <si>
    <t>Articolo 25 - Disposizioni di rinvio</t>
  </si>
  <si>
    <t>Per t utto q uanto n on p revisto d al p resente s tatuto s i f a</t>
  </si>
  <si>
    <t>riferimento a lle n orme p reviste d al c odice c ivile p er l e</t>
  </si>
  <si>
    <t>società a responsabilità limitata e qualora nulla le stesse</t>
  </si>
  <si>
    <t>prevedano, a  q uelle d ettate p er l e s ocietà p er a zioni, i n</t>
  </si>
  <si>
    <t>quanto compatibili.</t>
  </si>
  <si>
    <t>F.to Idotta Maria - Stefano Paderni Notaio - Impronta Sigillo</t>
  </si>
  <si>
    <t xml:space="preserve">-------THIS IS A CUSTOM END OF PAGE------- </t>
  </si>
  <si>
    <t>---------------------------------------- CHUNK 32 ----------------------------------------</t>
  </si>
  <si>
    <t>Imposta di Bollo Assolta ai sensi del Decreto Ministeriale</t>
  </si>
  <si>
    <t>del 22/02/2007 mediante M.U.I.</t>
  </si>
  <si>
    <t>COPIA SU SUPPORTO INFORMATICO CONFORME ALL'ORIGINALE DEL DO-</t>
  </si>
  <si>
    <t>CUMENTO S U S UPPORTO C ARTACEO A I S ENSI D EL D .L. N .82 D EL</t>
  </si>
  <si>
    <t>07/03/2005 ART.22 COMMA 1-2-3 CHE SI TRASMETTE IN TERMINI U-</t>
  </si>
  <si>
    <t xml:space="preserve">TILI DI REGISTRAZIONE AD USO DEL REGISTRO DELLE IMPRESE. </t>
  </si>
  <si>
    <t>---------------------------------------- CHUNK 33 ----------------------------------------</t>
  </si>
  <si>
    <t xml:space="preserve"> Allegato B</t>
  </si>
  <si>
    <t>Repertorio Numero 2771</t>
  </si>
  <si>
    <t>Raccolta Numero 1983</t>
  </si>
  <si>
    <t>S T A T U T O</t>
  </si>
  <si>
    <t>ARTICOLO 1 - DENOMINAZIONE</t>
  </si>
  <si>
    <t>È costituita, ai sensi dell'articolo 93 del D.P.R. 207/10 e dell'art. 2615-ter del</t>
  </si>
  <si>
    <t>Codice Civile, una Società Consortile a Responsabilità Limitata denominata:</t>
  </si>
  <si>
    <t>“OSPEDALE TORTONA SOCIETÀ CONSORTILE A R.L.”</t>
  </si>
  <si>
    <t>in sigla "OT SCARL".</t>
  </si>
  <si>
    <t>ARTICOLO 2 - SEDE</t>
  </si>
  <si>
    <t>2.1 La società ha sede nel Comune di MILANO (MI) al l'indirizzo risultante</t>
  </si>
  <si>
    <t>dalla apposita iscrizione eseguita presso il regist ro delle Imprese a sensi</t>
  </si>
  <si>
    <t>dell'art. 111-ter disposizioni di attuazione del codice civile.</t>
  </si>
  <si>
    <t>2.2 Gli organi sociali competenti ai sensi di legge  possono trasferire la sede,</t>
  </si>
  <si>
    <t>istituire o sopprimere, nel territorio della Repubb lica Italiana, sedi secondarie</t>
  </si>
  <si>
    <t>e/o amministrative, succursali, agenzie, uffici e rappresentanze.</t>
  </si>
  <si>
    <t>ARTICOLO 3 - DURATA</t>
  </si>
  <si>
    <t>La durata della Società Consortile è stabilita fino  al 31 (trentuno) dicembre</t>
  </si>
  <si>
    <t>2032 (duemilatrentadue); essa può essere prorogata, per il tempo necessario</t>
  </si>
  <si>
    <t>allo svolgimento delle operazioni e degli atti di q ualsiasi natura dipendenti</t>
  </si>
  <si>
    <t>dall'esecuzione delle prestazioni di cui al success ivo articolo 4 fino</t>
  </si>
  <si>
    <t>all'estinzione di ogni rapporto con il Committente e coi terzi.</t>
  </si>
  <si>
    <t>ARTICOLO 4 - SCOPO, OGGETTO e CONDIZIONI DI AMMISSIONE</t>
  </si>
  <si>
    <t>4.1. La società ha scopo consortile e costituisce l ’organizzazione comune</t>
  </si>
  <si>
    <t>delle imprese socie consorziate per la disciplina e lo svolgimento delle attività</t>
  </si>
  <si>
    <t>oggetto del contratto di appalto che verrà` sottosc ritto dal RTI composto da</t>
  </si>
  <si>
    <t xml:space="preserve">Codess Sanità srl, Il Gabbiano 2.0 s.c.s., Medical Line Consulting s.r.l. e </t>
  </si>
  <si>
    <t>---------------------------------------- CHUNK 34 ----------------------------------------</t>
  </si>
  <si>
    <t>Codess Sanità srl, Il Gabbiano 2.0 s.c.s., Medical Line Consulting s.r.l. e</t>
  </si>
  <si>
    <t>Codess Sociale s.c.s. per lo svolgimento dei servizi previsti nella gara indetta</t>
  </si>
  <si>
    <t>con deliberazione del Direttore Generale n. 644 del  20 Luglio 2022 da ASL</t>
  </si>
  <si>
    <t>AL con sede legale in Alessandria via Venezia n.6, e ad esse affidate ai sensi</t>
  </si>
  <si>
    <t>del successivo comma 4.2, mediante il coordinamento , in forma unitaria,</t>
  </si>
  <si>
    <t>delle loro capacità tecniche, gestionali, amministrative e finanziarie.</t>
  </si>
  <si>
    <t>4.2. Il RTI composto da Codess Sanità srl, Il Gabbi ano 2.0 s.c.s., Medical</t>
  </si>
  <si>
    <t>Line Consulting s.r.l. e Codess Sociale s.c.s.  aff iderà` al Società Consortile</t>
  </si>
  <si>
    <t>lo svolgimento di tutte le attività` previste dal c ontratto di appalto e</t>
  </si>
  <si>
    <t>conseguentemente le consorziate rimborseranno pro q uota al consorzio i</t>
  </si>
  <si>
    <t>costi sostenuti da quest'ultimo. La Consortile, quindi, persegue lo scopo di far</t>
  </si>
  <si>
    <t>conseguire ai consorziati i vantaggi economici deri vanti dall'organizzazione e</t>
  </si>
  <si>
    <t>dalla gestione in comune delle attività` oggetto de l contratto di appalto sopra</t>
  </si>
  <si>
    <t>indicato.</t>
  </si>
  <si>
    <t>Al fine di raggiungere gli scopi consortili, la con sortile potrà avvalersi di</t>
  </si>
  <si>
    <t>proprio personale, ovvero delle prestazioni delle c onsorziate stesse.</t>
  </si>
  <si>
    <t>Pertanto, a mero titolo esemplificativo, il consorzio si prefigge di:</t>
  </si>
  <si>
    <t xml:space="preserve">a. gestire e coordinare l'esecuzione di tutte le pre stazioni indicate nel </t>
  </si>
  <si>
    <t>---------------------------------------- CHUNK 35 ----------------------------------------</t>
  </si>
  <si>
    <t>a. gestire e coordinare l'esecuzione di tutte le pre stazioni indicate nel</t>
  </si>
  <si>
    <t>contratto di appalto che verrà` sottoscritto dal RT I sopra indicato, nonché´ le</t>
  </si>
  <si>
    <t>eventuali prestazioni e/o commesse supplementari ch e dovessero essere</t>
  </si>
  <si>
    <t>affidate nel corso dell'esecuzione del servizio;</t>
  </si>
  <si>
    <t>b. gestire, attraverso il proprio personale e proced ere a tutti gli acquisti</t>
  </si>
  <si>
    <t>di materiale necessari al perseguimento dello scopo consortile;</t>
  </si>
  <si>
    <t>c. sostenere direttamente tutti i costi relativi all a fornitura dei servizi</t>
  </si>
  <si>
    <t>oggetto del contratto di appalto, compresa l'assunz ione di personale</t>
  </si>
  <si>
    <t>dipendente;</t>
  </si>
  <si>
    <t>d. addebitare pro quota in capo alle società` consor ziate tutti i costi</t>
  </si>
  <si>
    <t>sostenuti per l'espletamento dei servizi oggetto del contratto di appalto;</t>
  </si>
  <si>
    <t>e. predisporre idonei strumenti onde consentire effi caci e solleciti scambi</t>
  </si>
  <si>
    <t>di informazione tra i consorziati in merito all'ese cuzione del contratto di</t>
  </si>
  <si>
    <t>appalto;</t>
  </si>
  <si>
    <t>f. svolgere tutte le attività` che siano strettament e connesse a quelle</t>
  </si>
  <si>
    <t>precedentemente elencate che siano necessarie e/o u tili alla realizzazione</t>
  </si>
  <si>
    <t>degli scopi predetti, avente per oggetto il perseguimento di tale finalità`.</t>
  </si>
  <si>
    <t>4.3. La Società Consortile ha pertanto il compito d i provvedere al puntuale e</t>
  </si>
  <si>
    <t>corretto adempimento dell’oggetto sociale costituen do i rapporti utili ed</t>
  </si>
  <si>
    <t>opportuni con fornitori di beni, prestatori d'opera  e di servizi, con istituti di</t>
  </si>
  <si>
    <t>credito e società finanziarie.</t>
  </si>
  <si>
    <t xml:space="preserve">4.4. Essa potrà` inoltre compiere tutte le operazio ni mobiliari e finanziarie, </t>
  </si>
  <si>
    <t>---------------------------------------- CHUNK 36 ----------------------------------------</t>
  </si>
  <si>
    <t>4.4. Essa potrà` inoltre compiere tutte le operazio ni mobiliari e finanziarie,</t>
  </si>
  <si>
    <t>funzionalmente connesse con la realizzazione dello scopo sociale, ivi</t>
  </si>
  <si>
    <t>compresa, fra l'altro, la stipulazione con qualsias i persona fisica o giuridica,</t>
  </si>
  <si>
    <t>società`, Ente, nazionale od estero, di aperture di  credito, anticipazioni</t>
  </si>
  <si>
    <t>bancarie, sconti, fidi bancari, mutui ed in genere ogni operazione di</t>
  </si>
  <si>
    <t>finanziamento ed assicurazione. Il consorzio potrà`  partecipare a società`,</t>
  </si>
  <si>
    <t>istituti, associazioni ed organismi anche consortili, in qualsiasi forma costituiti,</t>
  </si>
  <si>
    <t>le cui finalità` non siano in contrasto con gli scopi sociali previsti nello Statuto.</t>
  </si>
  <si>
    <t>4.5. La Società ha facoltà di acquisire mutui, pres titi o finanziamenti dai Soci,</t>
  </si>
  <si>
    <t>nei limiti della vigente normativa. Tali finanziame nti saranno fruttiferi o</t>
  </si>
  <si>
    <t>infruttiferi secondo quanto previsto dalle deliberazioni consiliari.</t>
  </si>
  <si>
    <t>4.6. Al fine di agevolare l'attuazione degli scopi sociali potrà essere redatto a</t>
  </si>
  <si>
    <t>cura dell'organo amministrativo e sottoposto all'ap provazione dell'assemblea</t>
  </si>
  <si>
    <t>un Regolamento interno. I soci sono tenuti alla scr upolosa osservanza delle</t>
  </si>
  <si>
    <t>norme di comportamento contenute nel suddetto Regol amento interno. Il</t>
  </si>
  <si>
    <t>Regolamento interno è approvato all’unanimità dall’Assemblea dei soci.</t>
  </si>
  <si>
    <t>ARTICOLO 5 - CAPITALE SOCIALE E PARTECIPAZIONI</t>
  </si>
  <si>
    <t>5.1. Il capitale sociale è di Euro 30.000,00 (trentamila virgola zero zero).</t>
  </si>
  <si>
    <t xml:space="preserve">5.2. La partecipazione sociale rappresenta una quota del capitale sociale. </t>
  </si>
  <si>
    <t>---------------------------------------- CHUNK 37 ----------------------------------------</t>
  </si>
  <si>
    <t>5.2. La partecipazione sociale rappresenta una quota del capitale sociale.</t>
  </si>
  <si>
    <t>5.3. In considerazione dell'oggetto sociale, le par tecipazioni non possono</t>
  </si>
  <si>
    <t>volontariamente formare oggetto di usufrutto, pegno  o garanzia, salvo</t>
  </si>
  <si>
    <t>deliberazione favorevole ed unanime dell'Assemblea.  Il diritto di voto</t>
  </si>
  <si>
    <t>continua comunque a spettare al socio.</t>
  </si>
  <si>
    <t>5.4. La partecipazione sociale è trasferibile a nor ma di legge, a condizione</t>
  </si>
  <si>
    <t>che il trasferimento non comporti la perdita dei re quisiti per l’esecuzione</t>
  </si>
  <si>
    <t>dell’attività sociale, secondo quanto previsto dall a legislazione vigente in</t>
  </si>
  <si>
    <t>materia e dai documenti di gara, pena la inefficaci a del trasferimento nei</t>
  </si>
  <si>
    <t>confronti della Società e fermo restando il diritto  di prelazione di seguito</t>
  </si>
  <si>
    <t>disciplinato. La verifica dei requisiti spetta all’ organo amministrativo; la</t>
  </si>
  <si>
    <t>decisione dovrà essere motivata e comunicata ai soc i a mezzo lettera</t>
  </si>
  <si>
    <t>raccomandata o Posta Elettronica Certificata entro 30 (trenta) giorni dalla</t>
  </si>
  <si>
    <t>richiesta.</t>
  </si>
  <si>
    <t>I soci sono vincolati a comunicare alla società ogn i variazione della propria</t>
  </si>
  <si>
    <t>denominazione, ragione sociale, natura giuridica, sede, domicilio.</t>
  </si>
  <si>
    <t>5.5. Ai fini dell’esercizio del diritto di prelazione, si procederà come segue:</t>
  </si>
  <si>
    <t>(a) il socio che intenda trasferire, in tutto o in p arte, la partecipazione o il</t>
  </si>
  <si>
    <t>proprio diritto di opzione, dovrà inviare a tutti i  soci, agli indirizzi risultanti dal</t>
  </si>
  <si>
    <t>Registro delle Imprese competente, una comunicazion e a mezzo lettera</t>
  </si>
  <si>
    <t xml:space="preserve">raccomandata a.r. o posta elettronica certificata, specificando: (1) l'entità </t>
  </si>
  <si>
    <t>---------------------------------------- CHUNK 38 ----------------------------------------</t>
  </si>
  <si>
    <t>raccomandata a.r. o posta elettronica certificata, specificando: (1) l'entità</t>
  </si>
  <si>
    <t>della partecipazione posta in vendita, (2) il nome dell’acquirente; (3) il prezzo</t>
  </si>
  <si>
    <t>richiesto da quantificare in ogni caso in denaro, o  il valore dell’eventuale</t>
  </si>
  <si>
    <t>diverso corrispettivo (nel caso di permuta, compens azione volontaria,</t>
  </si>
  <si>
    <t>transazione, ed altre ipotesi di cessione a titolo oneroso), o comunque il</t>
  </si>
  <si>
    <t>valore dell’oggetto della cessione in caso di trasferimento a titolo gratuito, (4)</t>
  </si>
  <si>
    <t>le modalità di pagamento, (5) le altre condizioni a lle quali la cessione</t>
  </si>
  <si>
    <t>dovrebbe essere conclusa, (6) l’invito ad esercitar e o meno il diritto di</t>
  </si>
  <si>
    <t>prelazione;</t>
  </si>
  <si>
    <t>(b) i soci destinatari della comunicazione avranno a disposizione 30 giorni</t>
  </si>
  <si>
    <t>dalla data di ricevimento dell'offerta per esercita re la prelazione con</t>
  </si>
  <si>
    <t>comunicazione da inviare a mezzo lettera racc. a.r.  o posta elettronica</t>
  </si>
  <si>
    <t>certificata al socio offerente;</t>
  </si>
  <si>
    <t>(c) nell’ipotesi di esercizio del diritto di prelaz ione da parte di più di un socio,</t>
  </si>
  <si>
    <t>la partecipazione offerta spetterà ai soci interess ati in proporzione alla</t>
  </si>
  <si>
    <t>partecipazione da ciascuno posseduta. Ciascuno dei soci che esercita il</t>
  </si>
  <si>
    <t>diritto di prelazione può rendersi acquirente della  restante quota inoptata da</t>
  </si>
  <si>
    <t>altri soci e quindi il riparto avverrà in proporzio ne alla quota posseduta da</t>
  </si>
  <si>
    <t>ciascuno dei concorrenti acquirenti;</t>
  </si>
  <si>
    <t xml:space="preserve">(d) la comunicazione di cui alla lett. (a) equivale  a proposta contrattuale ex </t>
  </si>
  <si>
    <t>---------------------------------------- CHUNK 39 ----------------------------------------</t>
  </si>
  <si>
    <t>(d) la comunicazione di cui alla lett. (a) equivale  a proposta contrattuale ex</t>
  </si>
  <si>
    <t>art. 1326 c.c., pertanto il contratto si intenderà concluso nel momento in cui</t>
  </si>
  <si>
    <t>l’offerente la prelazione viene a conoscenza dell’a ccettazione da parte del</t>
  </si>
  <si>
    <t>socio cessionario. Da tale momento il socio cedente  e cessionario dovranno</t>
  </si>
  <si>
    <t>ripetere il negozio nella forma idonea all’iscrizio ne dello stesso nel registro</t>
  </si>
  <si>
    <t>delle imprese. Tale ripetizione dovrà avvenire entr o 15 gg. dalla conclusione</t>
  </si>
  <si>
    <t>del contratto;</t>
  </si>
  <si>
    <t>(e) il socio offerente la partecipazione, previa co municazione delle generalità</t>
  </si>
  <si>
    <t>e requisiti del terzo acquirente all’Organo amminis trativo della società per le</t>
  </si>
  <si>
    <t>verifiche di cui al precedente punto 5.4) potrà val idamente vendere la</t>
  </si>
  <si>
    <t>partecipazione o la parte di partecipazione che non  sia stata acquistata in</t>
  </si>
  <si>
    <t>prelazione dagli altri soci: la vendita al terzo sa rà valida soltanto se rispetterà</t>
  </si>
  <si>
    <t>le stesse condizioni dell'offerta in prelazione ai soci e se avverrà nei 90</t>
  </si>
  <si>
    <t>(novanta) giorni successivi alla scadenza del termi ne offerto ai soci per</t>
  </si>
  <si>
    <t>esercitare la prelazione.</t>
  </si>
  <si>
    <t>ARTICOLO 6 - DOMICILIO DEI SOCI</t>
  </si>
  <si>
    <t>Per tutti i rapporti con la società, il domicilio d ei soci, degli amministratori, dei</t>
  </si>
  <si>
    <t>sindaci e del soggetto incaricato di effettuare la revisione legale dei conti, se</t>
  </si>
  <si>
    <t>nominati, è quello che risulta dal Registro Imprese . A tale domicilio vanno</t>
  </si>
  <si>
    <t>effettuate tutte le comunicazioni previste dal pres ente statuto. Qualora siano</t>
  </si>
  <si>
    <t xml:space="preserve">previste forme di comunicazione anche mediante fax,  posta elettronica o altri </t>
  </si>
  <si>
    <t>---------------------------------------- CHUNK 40 ----------------------------------------</t>
  </si>
  <si>
    <t>previste forme di comunicazione anche mediante fax,  posta elettronica o altri</t>
  </si>
  <si>
    <t>mezzi similari, le trasmissioni ai soggetti di cui sopra dovranno essere fatte al</t>
  </si>
  <si>
    <t>numero di fax, all'indirizzo di posta elettronica o  al diverso recapito che siano</t>
  </si>
  <si>
    <t>stati espressamente comunicati da detti soggetti.</t>
  </si>
  <si>
    <t>ARTICOLO 7 - ASSEMBLEE</t>
  </si>
  <si>
    <t>7.1. Le decisioni dei soci sono assunte esclusivame nte con metodo</t>
  </si>
  <si>
    <t>Assembleare. L’Assemblea regolarmente costituita ra ppresenta l'universalità</t>
  </si>
  <si>
    <t>dei soci, che sono obbligati a rispettarne e ad att uarne le deliberazioni</t>
  </si>
  <si>
    <t>assunte ai sensi di legge e di Statuto.</t>
  </si>
  <si>
    <t>ARTICOLO 8 - CONVOCAZIONE DELL’ASSEMBLEA</t>
  </si>
  <si>
    <t>8.1. L‘Assemblea è convocata dal Consiglio di Ammin istrazione nella sede</t>
  </si>
  <si>
    <t>sociale o altrove purché in Italia, con avviso sped ito almeno 8(otto) giorni</t>
  </si>
  <si>
    <t>prima di quello fissato per l’assemblea, ai soci ed  agli altri aventi diritto, al</t>
  </si>
  <si>
    <t>proprio domicilio; in particolare l’avviso di convocazione deve essere inviato a</t>
  </si>
  <si>
    <t>coloro che rivestano la qualità di socio, ovvero ai  titolari di diritti di voto, sulla</t>
  </si>
  <si>
    <t>base delle risultanze del registro Imprese; tale avviso può essere spedito con</t>
  </si>
  <si>
    <t>lettera raccomandata con avviso di ricevimento, ovv ero può essere</t>
  </si>
  <si>
    <t>consegnato a mano e controfirmato per ricevuta dal destinatario, ovvero può</t>
  </si>
  <si>
    <t>essere comunicato con qualsiasi altro mezzo idoneo allo scopo (compresi</t>
  </si>
  <si>
    <t xml:space="preserve">telefax, posta elettronica certificata altri mezzi similari) purché, in ogni caso, </t>
  </si>
  <si>
    <t>---------------------------------------- CHUNK 41 ----------------------------------------</t>
  </si>
  <si>
    <t>telefax, posta elettronica certificata altri mezzi similari) purché, in ogni caso,</t>
  </si>
  <si>
    <t>sia garantita la prova della avvenuta ricezione. Ne ll'avviso di convocazione</t>
  </si>
  <si>
    <t>debbono essere indicati il giorno, il luogo, l'ora della prima e se del caso della</t>
  </si>
  <si>
    <t>seconda convocazione dell'adunanza e l'elenco delle materie da trattare.</t>
  </si>
  <si>
    <t>8.2. L’Assemblea è comunque validamente costituita,  anche senza le</t>
  </si>
  <si>
    <t>suddette formalità, qualora sia rappresentato l'int ero capitale sociale e siano</t>
  </si>
  <si>
    <t>intervenuti o informati della riunione tutti gli Am ministratori in carica e i</t>
  </si>
  <si>
    <t>Sindaci effettivi, se nominati e nessuno si opponga  alla trattazione</t>
  </si>
  <si>
    <t>dell’argomento.</t>
  </si>
  <si>
    <t>Quanto sopra dovrà risultare da una dichiarazione s critta del soggetto</t>
  </si>
  <si>
    <t>assente.</t>
  </si>
  <si>
    <t>8.3. L’Assemblea dovrà anche essere convocata senza  ritardo, quando</t>
  </si>
  <si>
    <t>venga inoltrata richiesta ai sensi di legge.</t>
  </si>
  <si>
    <t>8.4. L'Assemblea viene convocata, per l'approvazion e del bilancio, almeno</t>
  </si>
  <si>
    <t>una volta all'anno, nei termini di legge, oppure en tro 180 (centottanta) giorni</t>
  </si>
  <si>
    <t>dalla chiusura dell'esercizio sociale, nei casi consentiti dalla legge.</t>
  </si>
  <si>
    <t>8.5.</t>
  </si>
  <si>
    <t>L'assemblea può svolgersi anche in videoconferenza e/o in teleconferenza,</t>
  </si>
  <si>
    <t>nel rispetto del metodo collegiale e dei principi d i buona fede e di parità di</t>
  </si>
  <si>
    <t>trattamento dei soci consorziati collegati.</t>
  </si>
  <si>
    <t>In tale caso:</t>
  </si>
  <si>
    <t>(a) dovrà essere consentito al Presidente dell'asse mblea di accertare</t>
  </si>
  <si>
    <t xml:space="preserve">inequivocabilmente la identità e la legittimazione degli intervenuti, regolare lo </t>
  </si>
  <si>
    <t>---------------------------------------- CHUNK 42 ----------------------------------------</t>
  </si>
  <si>
    <t>inequivocabilmente la identità e la legittimazione degli intervenuti, regolare lo</t>
  </si>
  <si>
    <t>svolgimento dell'adunanza, constatare e proclamare i risultati della votazione;</t>
  </si>
  <si>
    <t>(b) dovrà essere consentito al soggetto verbalizzan te di percepire</t>
  </si>
  <si>
    <t>adeguatamente gli eventi assembleari;</t>
  </si>
  <si>
    <t>(c) dovrà essere consentito agli intervenuti di par tecipare in tempo reale alla</t>
  </si>
  <si>
    <t>discussione e alla votazione simultanea sugli argom enti posti all'ordine del</t>
  </si>
  <si>
    <t>giorno;</t>
  </si>
  <si>
    <t>(e) ove non si tratti di assemblea totalitaria, dov ranno essere indicati</t>
  </si>
  <si>
    <t>nell'avviso di convocazione gli strumenti di audio- videoconferenza che</t>
  </si>
  <si>
    <t>saranno utilizzati per il collegamento con il luogo  di svolgimento dei lavori</t>
  </si>
  <si>
    <t>assembleari ove sarà presente il Presidente ed even tualmente il soggetto</t>
  </si>
  <si>
    <t>verbalizzante.</t>
  </si>
  <si>
    <t>ARTICOLO 9 - INTERVENTO IN ASSEMBLEA</t>
  </si>
  <si>
    <t>9.1 Il diritto di voto spetta a coloro che rivestan o la qualità di socio o aventi</t>
  </si>
  <si>
    <t>diritto di voto, sulla base delle risultanze del Registro delle Imprese.</t>
  </si>
  <si>
    <t>9.2 Possono intervenire all'assemblea i titolari del diritto di voto.</t>
  </si>
  <si>
    <t>9.3 Ogni socio potrà intervenire anche mediante del ega scritta, che dovrà</t>
  </si>
  <si>
    <t>essere conservata dalla società e la cui validità s arà verificata dal Presidente</t>
  </si>
  <si>
    <t>dell’Assemblea.</t>
  </si>
  <si>
    <t>ARTICOLO 10 - PRESIDENTE DELL'ASSEMBLEA</t>
  </si>
  <si>
    <t>10.1. Le Assemblee sono presiedute dal Presidente d el Consiglio di</t>
  </si>
  <si>
    <t>Amministrazione e in caso di sua assenza dal Vice P residente, oppure, in</t>
  </si>
  <si>
    <t>loro assenza, da altra persona scelta dai soci presenti.</t>
  </si>
  <si>
    <t xml:space="preserve">10.2. Le riunioni Assembleari sono constatate da un  verbale redatto ai sensi </t>
  </si>
  <si>
    <t>---------------------------------------- CHUNK 43 ----------------------------------------</t>
  </si>
  <si>
    <t>10.2. Le riunioni Assembleari sono constatate da un  verbale redatto ai sensi</t>
  </si>
  <si>
    <t>di legge da un segretario, anche non socio, nominat o dall’Assemblea, ovvero</t>
  </si>
  <si>
    <t>da un Notaio, nei casi di legge o quando il preside nte dell’Assemblea o</t>
  </si>
  <si>
    <t>l’Organo amministrativo lo ritengano opportuno.</t>
  </si>
  <si>
    <t>ARTICOLO 11 - DELIBERAZIONI ASSEMBLEARI</t>
  </si>
  <si>
    <t>11.1. I soci consorziati hanno diritto di voto prop orzionalmente alla</t>
  </si>
  <si>
    <t>partecipazione da ciascuno posseduta; il socio in m ora nei versamenti non</t>
  </si>
  <si>
    <t>può esercitare il diritto di voto.</t>
  </si>
  <si>
    <t>11.2 L'Assemblea è validamente costituita e deliber a, sia in prima che in</t>
  </si>
  <si>
    <t>seconda convocazione, con la presenza e il voto fav orevole di tanti soci</t>
  </si>
  <si>
    <t>consorziati che rappresentino il 70% (settanta per cento) del capitale sociale,</t>
  </si>
  <si>
    <t>fatte salve quelle materie per le quali la legge prevede maggioranze diverse.</t>
  </si>
  <si>
    <t>11.3 E’ nella esclusiva facoltà dell’Assemblea dei soci determinare compensi</t>
  </si>
  <si>
    <t>per i membri del Consiglio di Amministrazione, tale  delibera stante la natura</t>
  </si>
  <si>
    <t>consortile della società deve essere assunta con voto unanime.</t>
  </si>
  <si>
    <t>11.4 In caso di mancato raggiungimento delle maggio ranze di cui al</t>
  </si>
  <si>
    <t>precedente art. 11.2, il Presidente potrà autonomam ente intraprendere le</t>
  </si>
  <si>
    <t>azioni necessarie ed urgenti per il conseguimento d ell’oggetto della società</t>
  </si>
  <si>
    <t>consortile. In tal caso il socio dissenziente potrà  attivare il Foro Competente</t>
  </si>
  <si>
    <t xml:space="preserve">ai sensi del successivo articolo. </t>
  </si>
  <si>
    <t>---------------------------------------- CHUNK 44 ----------------------------------------</t>
  </si>
  <si>
    <t>ai sensi del successivo articolo.</t>
  </si>
  <si>
    <t>ARTICOLO 12 - CONSIGLIO DI AMMINISTRAZIONE</t>
  </si>
  <si>
    <t>12.1. La Società è amministrata da un Consiglio di Amministrazione</t>
  </si>
  <si>
    <t>composto da un numero di 4 (quattro) membri, anche non soci, nominati</t>
  </si>
  <si>
    <t>dall'Assemblea, salvo per la prima nomina che verrà  fatta alla costituzione</t>
  </si>
  <si>
    <t>della Società Consortile.</t>
  </si>
  <si>
    <t>12.2. Essi durano in carica tre esercizi, salvo il caso in cui il socio che ha</t>
  </si>
  <si>
    <t>designato l’amministratore non sia escluso ai sensi  del presente Statuto, nel</t>
  </si>
  <si>
    <t>qual caso detto amministratore si intende decaduto dalla carica con effetto</t>
  </si>
  <si>
    <t>dalla data di effetto dell’esclusione. Gli amministratori sono rieleggibili.</t>
  </si>
  <si>
    <t>12.3. L'Assemblea, in qualsiasi momento, può revoca re il mandato conferito</t>
  </si>
  <si>
    <t>ai membri del consiglio di amministrazione. Per la revoca dei predetti membri</t>
  </si>
  <si>
    <t>è sufficiente il voto favorevole del socio consorzi ato che ha provveduto a</t>
  </si>
  <si>
    <t>designare il/i consigliere/i il/i cui mandato/i è/s ono oggetto di revoca.</t>
  </si>
  <si>
    <t>L’Assemblea dovrà provvedere, contestualmente alla revoca del mandato,</t>
  </si>
  <si>
    <t>alla sostituzione del consigliere revocato o dei consiglieri revocati.</t>
  </si>
  <si>
    <t>12.4 Qualora, per qualunque motivo, venga a mancare  un consigliere di</t>
  </si>
  <si>
    <t>amministrazione, i membri rimasti in carica, nelle more della ricostituzione del</t>
  </si>
  <si>
    <t>Consiglio nel rispetto di quanto previsto all’artic olo 12.1 dello Statuto sociale,</t>
  </si>
  <si>
    <t xml:space="preserve">dovranno astenersi dal compimento di atti di straor dinaria amministrazione, </t>
  </si>
  <si>
    <t>---------------------------------------- CHUNK 45 ----------------------------------------</t>
  </si>
  <si>
    <t>dovranno astenersi dal compimento di atti di straor dinaria amministrazione,</t>
  </si>
  <si>
    <t>salvo che detti atti siano già stati deliberati pri ma della cessazione o salvo</t>
  </si>
  <si>
    <t>che consti l’autorizzazione dell’Assemblea al compimento dell’atto.</t>
  </si>
  <si>
    <t>ARTICOLO 13 - PRESIDENTE E VICE PRESIDENTE</t>
  </si>
  <si>
    <t>Fermo quanto previsto all’articolo 12.1 dello Statu to sociale il Consiglio</t>
  </si>
  <si>
    <t>d'Amministrazione, qualora non vi abbia provveduto l'Assemblea, nomina tra</t>
  </si>
  <si>
    <t>i suoi membri un Presidente e un Vice Presidente, determinandone i poteri.</t>
  </si>
  <si>
    <t>ARTICOLO 14 - CONVOCAZIONE DEL CONSIGLIO DI</t>
  </si>
  <si>
    <t>AMMINISTRAZIONE</t>
  </si>
  <si>
    <t>14.1. Il Consiglio d'Amministrazione si riunisce preferibilmente presso la sede</t>
  </si>
  <si>
    <t>sociale o altrove, tutte le volte che il Presidente , o chi ne fa le veci, lo ritenga</t>
  </si>
  <si>
    <t>opportuno ovvero quando ne sia fatta richiesta per iscritto da almeno uno dei</t>
  </si>
  <si>
    <t>suoi membri, o dal Collegio Sindacale, se nominato.</t>
  </si>
  <si>
    <t>14.2. Il Consiglio d'Amministrazione è convocato da l Presidente con lettera</t>
  </si>
  <si>
    <t>raccomandata, pec, e-mail o qualsiasi altro mezzo i doneo ad assicurare la</t>
  </si>
  <si>
    <t>prova dell’avvenuto ricevimento, da spedire almeno cinque (5) giorni prima</t>
  </si>
  <si>
    <t>della data della riunione, al domicilio di ciascun Consigliere e ciascun sindaco</t>
  </si>
  <si>
    <t>effettivo, qualora sia stato nominato il Collegio Sindacale.</t>
  </si>
  <si>
    <t>14.3. In caso di urgenza la convocazione può essere  fatta pec, e-mail o</t>
  </si>
  <si>
    <t>qualsiasi altro mezzo idoneo ad assicurare la prova  dell’avvenuto</t>
  </si>
  <si>
    <t xml:space="preserve">ricevimento, da spedire almeno due (2) giorni prima  della data della riunione; </t>
  </si>
  <si>
    <t>---------------------------------------- CHUNK 46 ----------------------------------------</t>
  </si>
  <si>
    <t>ricevimento, da spedire almeno due (2) giorni prima  della data della riunione;</t>
  </si>
  <si>
    <t>il requisito dell'urgenza è valutato insindacabilmente dal Presidente.</t>
  </si>
  <si>
    <t>14.4.</t>
  </si>
  <si>
    <t>Le adunanze del Consiglio di Amministrazione posson o avvenire anche, o</t>
  </si>
  <si>
    <t>esclusivamente, per il tramite di mezzi di telecomunicazione. In questo ultimo</t>
  </si>
  <si>
    <t>caso devono comunque essere soddisfatte le seguenti condizioni:</t>
  </si>
  <si>
    <t>(a) che sia effettivamente possibile al Presidente della riunione accertare</t>
  </si>
  <si>
    <t>l’identità degli intervenuti, regolare lo svolgimento della riunione, constatare e</t>
  </si>
  <si>
    <t>(b) che sia consentito al soggetto verbalizzante di  percepire adeguatamente</t>
  </si>
  <si>
    <t>gli eventi oggetto di verbalizzazione;</t>
  </si>
  <si>
    <t>(c) che sia consentito agli intervenuti partecipare  alla discussione, intervenire</t>
  </si>
  <si>
    <t>in tempo reale durante la trattazione degli argomen ti esaminati, e di</t>
  </si>
  <si>
    <t>partecipare alla votazione simultanea sugli argomen ti all’ordine del giorno,</t>
  </si>
  <si>
    <t>nonché, quando necessario, di visionare, ricevere o trasmettere documenti.</t>
  </si>
  <si>
    <t>Sussistendo queste condizioni, la riunione si considera tenuta nel luogo in cui</t>
  </si>
  <si>
    <t>si trova il Presidente ed eventualmente il Segretar io cui spetta comunque la</t>
  </si>
  <si>
    <t>stesura e la sottoscrizione del verbale sul relativo libro.</t>
  </si>
  <si>
    <t>ARTICOLO 15 - DELIBERAZIONI CONSILIARI</t>
  </si>
  <si>
    <t>15.1. Il Consiglio di amministrazione delibera con il voto favorevole della</t>
  </si>
  <si>
    <t>maggioranza dei membri presenti. In caso di parità di voti la delibera si</t>
  </si>
  <si>
    <t>intende non adottata.</t>
  </si>
  <si>
    <t>Il Consiglio di Amministrazione delibera all’unanimità sulle seguenti materie:</t>
  </si>
  <si>
    <t xml:space="preserve">· Decisioni relative alla imputazione delle eccedenz e di gestione </t>
  </si>
  <si>
    <t>---------------------------------------- CHUNK 47 ----------------------------------------</t>
  </si>
  <si>
    <t>· Decisioni relative alla imputazione delle eccedenz e di gestione</t>
  </si>
  <si>
    <t>maturate, fermo restando il divieto di distribuzione di utili ex artt. 2602 e 2615</t>
  </si>
  <si>
    <t>ter cod. civ.;</t>
  </si>
  <si>
    <t>· Affidamento, da parte della Società Consortile, ai  propri soci, di servizi</t>
  </si>
  <si>
    <t>e/o lavori oggetto dell’appalto;</t>
  </si>
  <si>
    <t>· Approvazione del progetto di bilancio, del budget e del cash flow della</t>
  </si>
  <si>
    <t>Commessa.</t>
  </si>
  <si>
    <t>15.2. Non sono consentiti la partecipazione ed il voto per delega.</t>
  </si>
  <si>
    <t>15.3. I verbali di riunione sono sottoscritti dal P residente e da un Segretario</t>
  </si>
  <si>
    <t>nominato di volta in volta, anche tra persone estra nee al Consiglio di</t>
  </si>
  <si>
    <t>Amministrazione e alla Società.</t>
  </si>
  <si>
    <t>ARTICOLO 16 - POTERI DEL CONSIGLIO DI AMMINISTRAZIONE</t>
  </si>
  <si>
    <t>16.1. Il Consiglio è investito dei più ampi poteri per la gestione ordinaria e</t>
  </si>
  <si>
    <t>straordinaria della Società, senza eccezioni di sor ta, ed ha facoltà di</t>
  </si>
  <si>
    <t>compiere tutti gli atti che ritenga opportuni per l ’attuazione ed il</t>
  </si>
  <si>
    <t>raggiungimento dell’oggetto sociale, esclusi soltan to quelli che la legge e il</t>
  </si>
  <si>
    <t>presente Statuto riservano all’Assemblea.</t>
  </si>
  <si>
    <t>16.2. Il Consiglio di Amministrazione può, con il v oto unanime dei propri</t>
  </si>
  <si>
    <t>membri, delegare in tutto o in parte i propri poter i ad un Amministratore</t>
  </si>
  <si>
    <t>Delegato o Comitato Esecutivo, composto da uno o pi ù dei suoi membri,</t>
  </si>
  <si>
    <t>determinando i limiti della delega; esso può anche nominare direttori, comitati</t>
  </si>
  <si>
    <t xml:space="preserve">tecnici e organismi di gestione determinandone i po teri, nonché conferire </t>
  </si>
  <si>
    <t>---------------------------------------- CHUNK 48 ----------------------------------------</t>
  </si>
  <si>
    <t>tecnici e organismi di gestione determinandone i po teri, nonché conferire</t>
  </si>
  <si>
    <t>procure speciali per il compimento di determinati atti o categorie di atti.</t>
  </si>
  <si>
    <t>16.3. Le deleghe attribuite all’Amministratore Dele gato o al Comitato</t>
  </si>
  <si>
    <t>Esecutivo hanno una durata massima di 12 mesi dalla loro attribuzione e, alla</t>
  </si>
  <si>
    <t>scadenza, possono essere nuovamente attribuite ai sensi del precedente art.</t>
  </si>
  <si>
    <t>16.2.</t>
  </si>
  <si>
    <t>ARTICOLO 17 - RAPPRESENTANZA LEGALE</t>
  </si>
  <si>
    <t>17.1 La rappresentanza della società sia nei rappor ti con i terzi che in</t>
  </si>
  <si>
    <t>giudizio, spetta al Presidente del Consiglio di Amm inistrazione nonché, in</t>
  </si>
  <si>
    <t>caso di sua assenza al vice Presidente e in caso di  delega,</t>
  </si>
  <si>
    <t>all'Amministratore o agli Amministratori Delegati i n via disgiunta tra di loro,</t>
  </si>
  <si>
    <t>ove nominati; nella delega potranno essere fissati dei limiti all'uso della firma</t>
  </si>
  <si>
    <t>sociale; la rappresentanza della società spetterà, in via disgiunta anche a</t>
  </si>
  <si>
    <t>quel Consigliere, che viene delegato dal Consiglio di Amministrazione al</t>
  </si>
  <si>
    <t>compimento di una singola operazione e ciò ai fini del compimento</t>
  </si>
  <si>
    <t>dell'operazione autorizzata nonché di tutti gli att i e formalità inerenti e</t>
  </si>
  <si>
    <t>conseguenti.</t>
  </si>
  <si>
    <t>17.2 In caso di liquidazione, la rappresentanza del la società spetta al</t>
  </si>
  <si>
    <t>liquidatore ovvero in caso di nomina di più liquida tori al presidente del</t>
  </si>
  <si>
    <t>Collegio di liquidazione ed eventualmente anche agl i altri componenti del</t>
  </si>
  <si>
    <t>collegio medesimo, secondo quanto verrà.</t>
  </si>
  <si>
    <t>ARTICOLO 18 - GESTIONE SOCIALE</t>
  </si>
  <si>
    <t xml:space="preserve">18.1. La Società Consortile, avvalendosi della prop ria struttura ed </t>
  </si>
  <si>
    <t>---------------------------------------- CHUNK 49 ----------------------------------------</t>
  </si>
  <si>
    <t>18.1. La Società Consortile, avvalendosi della prop ria struttura ed</t>
  </si>
  <si>
    <t>eventualmente di quella dei soci consorziati, provv ede, in loro conto ed</t>
  </si>
  <si>
    <t>interesse, al compimento di tutto quanto occorra pe r il conseguimento</t>
  </si>
  <si>
    <t>dell'oggetto sociale.</t>
  </si>
  <si>
    <t>18.2. Essa, pertanto, a titolo esemplificativo e no n esaustivo, può: ottenere</t>
  </si>
  <si>
    <t>risorse finanziarie presso istituti bancari e azien de di credito e/o società</t>
  </si>
  <si>
    <t>finanziarie; reperire materiali, mezzi d'opera, att rezzature, risorse e</t>
  </si>
  <si>
    <t>prestazioni in genere; reclutare personale operaio ed impiegatizio, tecnico ed</t>
  </si>
  <si>
    <t>amministrativo, dirigerne e coordinarne l'attività;  provvedere a quanto altro</t>
  </si>
  <si>
    <t>occorra per l'esecuzione dei servizi.</t>
  </si>
  <si>
    <t>18.3. La Società Consortile può avvalersi di presta zioni di dipendenti dei soci</t>
  </si>
  <si>
    <t>consorziati, da questi comandati presso la Società Consortile. La fornitura</t>
  </si>
  <si>
    <t>delle risorse di qualsiasi natura occorrenti per l' esecuzione dei servizi e per il</t>
  </si>
  <si>
    <t>funzionamento della Società, deve preferibilmente e ssere effettuata</t>
  </si>
  <si>
    <t>direttamente dai soci consorziati, i quali addebite ranno i costi sostenuti alla</t>
  </si>
  <si>
    <t>Società Consortile.</t>
  </si>
  <si>
    <t>18.4. Tutti i costi diretti ed indiretti, sopportat i dalla Società Consortile per</t>
  </si>
  <si>
    <t>l'attuazione del proprio oggetto dovranno esserle r imborsati dai soci, in</t>
  </si>
  <si>
    <t>proporzione alla quota sociale rispettivamente poss eduta, con le modalità e</t>
  </si>
  <si>
    <t xml:space="preserve">nei termini stabiliti dal Consiglio di Amministrazione. </t>
  </si>
  <si>
    <t>---------------------------------------- CHUNK 50 ----------------------------------------</t>
  </si>
  <si>
    <t>nei termini stabiliti dal Consiglio di Amministrazione.</t>
  </si>
  <si>
    <t>18.5. È esclusa qualsiasi ipotesi di solidarietà tr a i soci per gli obblighi da</t>
  </si>
  <si>
    <t>questi assunti nei confronti della società consorti le, neppure in ragione della</t>
  </si>
  <si>
    <t>propria quota di competenza. Pertanto, in nessun caso un socio potrà essere</t>
  </si>
  <si>
    <t>chiamato ad adempiere alle obbligazioni dell'altro,  ivi compresi impegni a</t>
  </si>
  <si>
    <t>finanziare la società, obblighi di prestazione di g aranzie, rimborso, costi di</t>
  </si>
  <si>
    <t>competenza.</t>
  </si>
  <si>
    <t>ARTICOLO 19 - OBBLIGHI DEI SOCI CONSORZIATI</t>
  </si>
  <si>
    <t>19.1 Ciascun socio consorziato assume l'obbligo di:</t>
  </si>
  <si>
    <t>a) garantire, anche tramite terzi costituitisi fide jussori nel suo interesse,</t>
  </si>
  <si>
    <t>esclusivamente in ragione della propria quota socia le con esclusione di</t>
  </si>
  <si>
    <t>vincoli di solidarietà, l'adempimento delle obbliga zioni assunte dalla Società</t>
  </si>
  <si>
    <t>Consortile nei confronti di terzi e di eventuali is tituti, società finanziarie e/o</t>
  </si>
  <si>
    <t>aziende di credito finanziatrici;</t>
  </si>
  <si>
    <t>b) mettere a disposizione della Società Consortile, in proporzione alla propria</t>
  </si>
  <si>
    <t>quota sociale con esclusione di qualunque vincolo d i solidarietà, con le</t>
  </si>
  <si>
    <t>modalità e nei termini deliberati dal Consiglio d'A mministrazione, le risorse</t>
  </si>
  <si>
    <t>finanziarie, tecniche e di qualsiasi natura, necessarie per l'adempimento degli</t>
  </si>
  <si>
    <t>obblighi assunti per il conseguimento dell'oggetto sociale;</t>
  </si>
  <si>
    <t>c) provvedere, nei termini stabiliti dal Consiglio di Amministrazione, al</t>
  </si>
  <si>
    <t>rimborso della quota parte di costi di propria spet tanza sostenuti dalla</t>
  </si>
  <si>
    <t xml:space="preserve">Società Consortile per la prestazione delle attivit à e per la gestione sociale </t>
  </si>
  <si>
    <t>---------------------------------------- CHUNK 51 ----------------------------------------</t>
  </si>
  <si>
    <t>Società Consortile per la prestazione delle attivit à e per la gestione sociale</t>
  </si>
  <si>
    <t>con esclusione di qualunque vincolo di solidarietà con gli altri soci;</t>
  </si>
  <si>
    <t>d) versare contributi consortili ex art. 2615-ter c .c. in denaro, periodici o</t>
  </si>
  <si>
    <t>straordinari, a favore della società consortile ove  deliberati dal consiglio di</t>
  </si>
  <si>
    <t>amministrazione al fine del raggiungimento dello scopo consortile;</t>
  </si>
  <si>
    <t>e) adempiere a tutti gli obblighi assunti nei confr onti della Società Consortile</t>
  </si>
  <si>
    <t>e degli altri soci consorziati in modo da consentir ne il regolare</t>
  </si>
  <si>
    <t>funzionamento.</t>
  </si>
  <si>
    <t>ARTICOLO 20 - ATTIVITA’ DEI SOCI</t>
  </si>
  <si>
    <t>20.1 Atteso lo scopo consortile della Società e con siderata la disponibilità da</t>
  </si>
  <si>
    <t>parte dei soci consorziati di strutture e risorse g estionali e operative</t>
  </si>
  <si>
    <t>adeguate, la Società può affidare ad essi la esecuz ione, in tutto o in parte, di</t>
  </si>
  <si>
    <t>talune attività dietro riconoscimento di un equo corrispettivo che graverà sulla</t>
  </si>
  <si>
    <t>Società Consortile quale costo di gestione.</t>
  </si>
  <si>
    <t>ARTICOLO 21 - ESERCIZIO SOCIALE - BILANCIO</t>
  </si>
  <si>
    <t>21.1 Gli esercizi sociali si chiudono il 31 (trentuno) dicembre di ogni anno.</t>
  </si>
  <si>
    <t>21.2 Al termine di ogni esercizio il Consiglio di A mministrazione provvede</t>
  </si>
  <si>
    <t>entro i limiti e sotto l'osservanza delle disposizi oni di legge e di statuto, alla</t>
  </si>
  <si>
    <t>redazione del bilancio d’esercizio da sottoporre al l'approvazione</t>
  </si>
  <si>
    <t xml:space="preserve">dell'Assemblea. </t>
  </si>
  <si>
    <t>---------------------------------------- CHUNK 52 ----------------------------------------</t>
  </si>
  <si>
    <t>dell'Assemblea.</t>
  </si>
  <si>
    <t>21.3 La Società a norma del combinato disposto degl i art. 2602 e 2615 ter</t>
  </si>
  <si>
    <t>c.c., avendo scopo consortile non produce utili e d ividendi tra i soci</t>
  </si>
  <si>
    <t>consorziati.</t>
  </si>
  <si>
    <t>Ferma l'assenza dello scopo di lucro per la Società  consortile, le eventuali</t>
  </si>
  <si>
    <t>eccedenze di ricavi e contributi preventivamente ac quisiti rispetto ai costi di</t>
  </si>
  <si>
    <t>gestione saranno ristornati ai soci secondo quanto deliberato dall'Assemblea;</t>
  </si>
  <si>
    <t>così come spetterà all'Assemblea deliberare sulla c opertura degli eventuali</t>
  </si>
  <si>
    <t>disavanzi.</t>
  </si>
  <si>
    <t>ARTICOLO 22 - ORGANO DI CONTROLLO</t>
  </si>
  <si>
    <t>22.1 Ove previsto dalla legge, o per decisione dei soci, l'Assemblea</t>
  </si>
  <si>
    <t>procederà alla nomina di un Collegio Sindacale comp osto di 3 (tre) Sindaci</t>
  </si>
  <si>
    <t>effettivi e di 3 (tre) supplenti, nominati e funzio nanti a norma di legge. Il</t>
  </si>
  <si>
    <t>Collegio Sindacale eserciterà anche la revisione legale dei conti, qualora non</t>
  </si>
  <si>
    <t>sia affidata, per volontà dei soci o per obbligo di  legge, ad un revisore legale</t>
  </si>
  <si>
    <t>dei conti o ad una società di revisione legale.</t>
  </si>
  <si>
    <t>22.2. E’ facoltà dell’Assemblea, alternativamente, nominare un Sindaco</t>
  </si>
  <si>
    <t>Unico i cui poteri sono disciplinati dalle norme in materia di società per azioni.</t>
  </si>
  <si>
    <t>Ad esso spetta altresì la revisione legale dei cont i, qualora non sia affidata,</t>
  </si>
  <si>
    <t xml:space="preserve">per volontà dei soci o per obbligo di legge, ad un revisore legale dei conti o </t>
  </si>
  <si>
    <t>---------------------------------------- CHUNK 53 ----------------------------------------</t>
  </si>
  <si>
    <t>per volontà dei soci o per obbligo di legge, ad un revisore legale dei conti o</t>
  </si>
  <si>
    <t>ad una società di revisione legale. Il Sindaco Unic o deve essere un revisore</t>
  </si>
  <si>
    <t>legale iscritto nell’apposito registro.</t>
  </si>
  <si>
    <t>ARTICOLO 23 - RECESSO</t>
  </si>
  <si>
    <t>Il recesso può essere esercitato nei soli casi inde rogabili previsti dalla legge</t>
  </si>
  <si>
    <t>se ed in quanto compatibili con lo scopo e l’oggett o della società. È</t>
  </si>
  <si>
    <t>espressamente escluso il diritto di recesso in capo  al socio che non ha</t>
  </si>
  <si>
    <t>concorso all’approvazione della delibera di proroga della società.</t>
  </si>
  <si>
    <t>ARTICOLO 24 - ESCLUSIONE E SCIOGLIMENTO DEL RAPPORT O</t>
  </si>
  <si>
    <t>SOCIALE LIMITATAMENTE AL SOCIO</t>
  </si>
  <si>
    <t>24.1. Il socio consorziato può essere escluso per giusta causa, con decisione</t>
  </si>
  <si>
    <t>dell’Assemblea. Si considera giusta causa di esclus ione il grave</t>
  </si>
  <si>
    <t>inadempimento alle obbligazioni assunte con il pres ente Statuto,</t>
  </si>
  <si>
    <t>intendendosi tali la violazione degli obblighi di c ui al precedente articolo 19 e</t>
  </si>
  <si>
    <t>le ipotesi previste all’art. 24.3.</t>
  </si>
  <si>
    <t>24.2. L’Assemblea delibera validamente l’esclusione con la presenza e il voto</t>
  </si>
  <si>
    <t>favorevole di tanti soci che rappresentino almeno i l 70% del capitale sociale,</t>
  </si>
  <si>
    <t>non computandosi la partecipazione del socio consor ziato da escludere. In</t>
  </si>
  <si>
    <t>presenza di 2 (due) soci, l’esclusione di uno di es si è pronunciata dal</t>
  </si>
  <si>
    <t>Tribunale competente su domanda dell’altro.</t>
  </si>
  <si>
    <t>24.3. Il consorziato può essere escluso nei seguenti casi:</t>
  </si>
  <si>
    <t>a) dichiarazione di liquidazione giudiziale;</t>
  </si>
  <si>
    <t xml:space="preserve">b) sottoposizione ad amministrazione controllata o straordinaria o ad altre </t>
  </si>
  <si>
    <t>---------------------------------------- CHUNK 54 ----------------------------------------</t>
  </si>
  <si>
    <t>b) sottoposizione ad amministrazione controllata o straordinaria o ad altre</t>
  </si>
  <si>
    <t>procedure concorsuali, ad eccezione della composizione negoziata della crisi</t>
  </si>
  <si>
    <t>il cui esito sia differente dal concordato semplifi cato e del concordato</t>
  </si>
  <si>
    <t>preventivo in continuità;</t>
  </si>
  <si>
    <t>c) cessazione e/o cambiamento sostanziale dell’attività;</t>
  </si>
  <si>
    <t>d) deliberazione di scioglimento e comunque verific arsi di una delle cause di</t>
  </si>
  <si>
    <t>scioglimento previste dalla legge;</t>
  </si>
  <si>
    <t>e) perdita dei requisiti di qualificazione previsti  per l’esecuzione del Contratto</t>
  </si>
  <si>
    <t>previsti dalle norme vigenti;</t>
  </si>
  <si>
    <t>f) grave e reiterato inadempimento alle obbligazioni contrattualmente assunte</t>
  </si>
  <si>
    <t>nell’ambito dell’RTI e previa diffida ad adempiere dell’Organo amministrativo</t>
  </si>
  <si>
    <t>con termine di adempimento non inferiore a giorni 60(sessanta).</t>
  </si>
  <si>
    <t>ARTICOLO 25 - EFFETTI DELL’ESCLUSIONE</t>
  </si>
  <si>
    <t>25.1 L’esclusione di un socio consorziato farà sorg ere il diritto dello stesso</t>
  </si>
  <si>
    <t>alla liquidazione della propria quota di partecipaz ione al capitale sociale,</t>
  </si>
  <si>
    <t>restando, tuttavia, sin d’ora inteso che:</t>
  </si>
  <si>
    <t>a) detta liquidazione potrà esclusivamente avvenire  in conseguenza</t>
  </si>
  <si>
    <t>dell’accrescimento proporzionale della quota di par tecipazione nella società</t>
  </si>
  <si>
    <t>detenuta dagli altri soci consorziati, sino al limi te massimo consentito per</t>
  </si>
  <si>
    <t>ciascuno di essi in ragione dei requisiti di qualif icazione posseduti, senza</t>
  </si>
  <si>
    <t>possibilità di rimborso - fermo restando quanto pre visto al successivo punto</t>
  </si>
  <si>
    <t xml:space="preserve">b) - a favore del socio escluso mediante riduzione del capitale sociale; </t>
  </si>
  <si>
    <t>---------------------------------------- CHUNK 55 ----------------------------------------</t>
  </si>
  <si>
    <t>b) - a favore del socio escluso mediante riduzione del capitale sociale;</t>
  </si>
  <si>
    <t>b) per effetto di tale accrescimento gli altri soci  consorziati, fatto salvo</t>
  </si>
  <si>
    <t>quanto previsto nei successivi punti, saranno esclu sivamente tenuti a</t>
  </si>
  <si>
    <t>corrispondere, pro quota, a quello escluso il valor e nominale della</t>
  </si>
  <si>
    <t>partecipazione originariamente detenuta da quest’ultimo;</t>
  </si>
  <si>
    <t>c) il suddetto importo sarà versato al socio esclus o solo a seguito</t>
  </si>
  <si>
    <t>dell’esaurimento di tutti i rapporti giuridici ed economici menzionati all’art. 4;</t>
  </si>
  <si>
    <t>d) rimarrà inalterata la misura della responsabilit à del socio consorziato</t>
  </si>
  <si>
    <t>escluso nei confronti della Società, degli altri so ci consorziati, della</t>
  </si>
  <si>
    <t>Committente e dei terzi in genere secondo l’originaria quota di partecipazione</t>
  </si>
  <si>
    <t>assunta prima dell’esclusione in conformità a quant o previsto dalla legge,</t>
  </si>
  <si>
    <t>dalla lex specialis di gara, dal contratto di conce ssione stipulato</t>
  </si>
  <si>
    <t>dall’Associazione Temporanea di Imprese (ovvero RTI ) aggiudicataria della</t>
  </si>
  <si>
    <t>Commessa con la stessa e da ogni altro atto adottat o dalla Società anche</t>
  </si>
  <si>
    <t>per conto del socio consorziato escluso;</t>
  </si>
  <si>
    <t>e) resteranno in vigore, per tutta la loro durata o riginaria, le garanzie, di</t>
  </si>
  <si>
    <t>qualsivoglia natura, prestate, rilasciate o present ate dal socio consorziato</t>
  </si>
  <si>
    <t>escluso nell’interesse della Società ed a favore di terzi;</t>
  </si>
  <si>
    <t xml:space="preserve">f) il socio consorziato escluso non potrà più conco rrere alla ripartizione dei </t>
  </si>
  <si>
    <t>---------------------------------------- CHUNK 56 ----------------------------------------</t>
  </si>
  <si>
    <t>f) il socio consorziato escluso non potrà più conco rrere alla ripartizione dei</t>
  </si>
  <si>
    <t>ricavi della Commessa, salvo che per quelli già mat urati in relazione alle</t>
  </si>
  <si>
    <t>prestazioni espletate alla data di esclusione;</t>
  </si>
  <si>
    <t>g) il socio consorziato escluso dovrà comunque fars i carico di tutti i costi</t>
  </si>
  <si>
    <t>afferenti alla Commessa per le attività svolte dall a Società sino alla data di</t>
  </si>
  <si>
    <t>effetto della sua esclusione;</t>
  </si>
  <si>
    <t>h) ove la Società, al momento dell’esclusione, vant i, a qualsivoglia titolo,</t>
  </si>
  <si>
    <t>crediti nei confronti del socio consorziato escluso , detti crediti diverranno</t>
  </si>
  <si>
    <t>immediatamente esigibili ancorché la relativa scadenza fosse originariamente</t>
  </si>
  <si>
    <t>prevista per una data successiva;</t>
  </si>
  <si>
    <t>i) il socio consorziato escluso, da ultimo, sarà in  ogni caso tenuto a ripianare</t>
  </si>
  <si>
    <t>le eventuali perdite della Commessa secondo l’origi naria quota di</t>
  </si>
  <si>
    <t>partecipazione al capitale sociale determinate alla  data di effetto</t>
  </si>
  <si>
    <t>dell’esclusione;</t>
  </si>
  <si>
    <t>l) per l’effetto, allorquando gli altri soci consor ziati procederanno al</t>
  </si>
  <si>
    <t>pagamento dell’importo dovuto a quello escluso in c onseguenza della</t>
  </si>
  <si>
    <t>liquidazione della sua quota di partecipazione alla  Società, gli altri soci</t>
  </si>
  <si>
    <t>consorziati saranno autorizzati a trattenere dall’i mporto dovuto a quello</t>
  </si>
  <si>
    <t>escluso le somme occorrenti per ripianare le perdite di commessa che, senza</t>
  </si>
  <si>
    <t>l’esclusione, sarebbero altrimenti gravate su quest’ultimo.</t>
  </si>
  <si>
    <t xml:space="preserve">m) il diritto particolare del socio escluso previst o dal successivo articolo 26 </t>
  </si>
  <si>
    <t>---------------------------------------- CHUNK 57 ----------------------------------------</t>
  </si>
  <si>
    <t>m) il diritto particolare del socio escluso previst o dal successivo articolo 26</t>
  </si>
  <si>
    <t>non sarà trasferito ad alcuno dei soci consorziati superstiti, e l’amministratore</t>
  </si>
  <si>
    <t>a suo tempo designato dal socio escluso (decaduto),  potrà essere sostituito</t>
  </si>
  <si>
    <t>con la nomina di un nuovo amministratore da parte d ell’assemblea dei soci</t>
  </si>
  <si>
    <t>superstiti.</t>
  </si>
  <si>
    <t>25.2 L’esclusione di un socio consorziato lascerà impregiudicato il diritto della</t>
  </si>
  <si>
    <t>Società e degli altri soci consorziati ad ogni diversa ed ulteriore azione legale</t>
  </si>
  <si>
    <t>a tutela di ogni diritto, anche in relazione ad eve ntuali maggiori danni, subiti</t>
  </si>
  <si>
    <t>dalla stessa Società o dagli altri soci consorziati.</t>
  </si>
  <si>
    <t>Art 26 - DIRITTI DEI SOCI</t>
  </si>
  <si>
    <t>Diritti uguali</t>
  </si>
  <si>
    <t>A) Fatto salvo quanto previsto al successivo punto B), i diritti sociali spettano</t>
  </si>
  <si>
    <t>ai soci in misura proporzionale alla partecipazione da ciascuno posseduta.</t>
  </si>
  <si>
    <t>Diritti diversi dalla quota</t>
  </si>
  <si>
    <t>B) I diritti sociali spettano ai soci in misura pro porzionale alla partecipazione</t>
  </si>
  <si>
    <t>da ciascuno posseduta, salvo che per i seguenti dir itti spettanti in via</t>
  </si>
  <si>
    <t>esclusiva ai seguenti soci:</t>
  </si>
  <si>
    <t>B.1) al socio Codess Sanità S.r.l.</t>
  </si>
  <si>
    <t>- spetta il diritto personale e inalienabile di nom inare 1 (uno) componente</t>
  </si>
  <si>
    <t>dell’organo amministrativo; in conseguenza di detta  nomina non potranno</t>
  </si>
  <si>
    <t>concorrere con gli altri soci nella nomina degli al tri componenti l’organo</t>
  </si>
  <si>
    <t xml:space="preserve">amministrativo; il componente dell’organo amministr ativo nominato da </t>
  </si>
  <si>
    <t>---------------------------------------- CHUNK 58 ----------------------------------------</t>
  </si>
  <si>
    <t>amministrativo; il componente dell’organo amministr ativo nominato da</t>
  </si>
  <si>
    <t>Codess Sanità S.r.l. avrà ruolo di Presidente dell’organo amministrativo.</t>
  </si>
  <si>
    <t>- nominare uno (1) sindaco effettivo e uno (1) sind aco supplente, laddove</t>
  </si>
  <si>
    <t>venga nominato il collegio sindacale;</t>
  </si>
  <si>
    <t>B.2) al socio Codess Sociale Cooperativa Sociale</t>
  </si>
  <si>
    <t>dell’organo amministrativo; in conseguenza di detta  nomina non potrà</t>
  </si>
  <si>
    <t>amministrativo;</t>
  </si>
  <si>
    <t>B.2) al socio Gabbiano Cooperativa Sociale</t>
  </si>
  <si>
    <t>B.3) al socio MLC S.r.l.</t>
  </si>
  <si>
    <t xml:space="preserve">26.2 Laddove venga nominato il Collegio Sindacale, la presidenza del </t>
  </si>
  <si>
    <t>---------------------------------------- CHUNK 59 ----------------------------------------</t>
  </si>
  <si>
    <t>26.2 Laddove venga nominato il Collegio Sindacale, la presidenza del</t>
  </si>
  <si>
    <t>Collegio spetterà a rotazione a ciascuno socio di m inoranza, ovvero Codess</t>
  </si>
  <si>
    <t>Sociale, Gabbiano 2.0 e MLC. La prima nomina spette rà a MLC, la seconda</t>
  </si>
  <si>
    <t>a Gabbiano 2.0 ed infine a Codess Sociale.</t>
  </si>
  <si>
    <t>26.3 I diritti di cui sopra possono essere modifica ti con delibera assembleare</t>
  </si>
  <si>
    <t>da adottarsi col consenso unanime di tutti i soci.</t>
  </si>
  <si>
    <t>ARTICOLO 27 - SCIOGLIMENTO DELLA SOCIETÀ CONSORTILE</t>
  </si>
  <si>
    <t>27.1. La Società Consortile si scioglierà al verifi carsi di una delle cause</t>
  </si>
  <si>
    <t>indicate negli articoli 2484 e 2611 Codice Civile.</t>
  </si>
  <si>
    <t>27.2. In tal caso l'Assemblea provvederà alla nomina di uno o più liquidatori.</t>
  </si>
  <si>
    <t>ARTICOLO 28 - FORO COMPETENTE</t>
  </si>
  <si>
    <t>28.1. Per tutte le controversie che dovessero insor gere tra la società e</t>
  </si>
  <si>
    <t>ciascun socio, ovvero tra i soci, nonché per quelle  promosse da</t>
  </si>
  <si>
    <t>amministratori, liquidatori e sindaci o nei loro co nfronti, relative o connesse</t>
  </si>
  <si>
    <t>all’interpretazione e all’applicazione dell’atto co stitutivo, dello statuto, del</t>
  </si>
  <si>
    <t>regolamento interno, dei patti parasociali o accord i di collaborazione e più in</t>
  </si>
  <si>
    <t>generale, allo svolgimento dell’attività sociale ed al rapporto sociale o relative</t>
  </si>
  <si>
    <t>ad azioni di responsabilità o al trasferimento dell e partecipazioni o ai diritti a</t>
  </si>
  <si>
    <t>queste inerenti, sarà competente in via esclusiva il Foro di Milano.</t>
  </si>
  <si>
    <t xml:space="preserve">ARTICOLO 29 - RINVIO </t>
  </si>
  <si>
    <t>---------------------------------------- CHUNK 60 ----------------------------------------</t>
  </si>
  <si>
    <t>ARTICOLO 29 - RINVIO</t>
  </si>
  <si>
    <t>Per tutto quanto non espressamente previsto nel pre sente Statuto, si fa</t>
  </si>
  <si>
    <t>riferimento alle norme di legge vigenti in materia di Società Consortile.</t>
  </si>
  <si>
    <t>Fto. Mario Oreficini, Santoro Marco, Paolo Tiramani , Luca Omodei - GIULIA</t>
  </si>
  <si>
    <t>CANDIANI (L.S.)</t>
  </si>
  <si>
    <t>Copia su supporto informatico conforme al documento</t>
  </si>
  <si>
    <t>originale su supporto cartaceo, ai sensi dell'artic olo 22,</t>
  </si>
  <si>
    <t>D. Lgs. 7 marzo 2005 n. 82.</t>
  </si>
  <si>
    <t xml:space="preserve">Cusano Milanino, 30 dicembre 2023 </t>
  </si>
  <si>
    <t>---------------------------------------- CHUNK 61 ----------------------------------------</t>
  </si>
  <si>
    <t>Statuto</t>
  </si>
  <si>
    <t>1. DENOMINAZIONE</t>
  </si>
  <si>
    <r>
      <t xml:space="preserve">    </t>
    </r>
    <r>
      <rPr>
        <sz val="8"/>
        <color rgb="FFA31515"/>
        <rFont val="Consolas"/>
        <family val="3"/>
      </rPr>
      <t>"poliambulatorio 3d s.r.l."</t>
    </r>
    <r>
      <rPr>
        <sz val="8"/>
        <color rgb="FF3B3B3B"/>
        <rFont val="Consolas"/>
        <family val="3"/>
      </rPr>
      <t>: {</t>
    </r>
  </si>
  <si>
    <r>
      <t xml:space="preserve">        </t>
    </r>
    <r>
      <rPr>
        <sz val="8"/>
        <color rgb="FFA31515"/>
        <rFont val="Consolas"/>
        <family val="3"/>
      </rPr>
      <t>"CompensoAmministratori"</t>
    </r>
    <r>
      <rPr>
        <sz val="8"/>
        <color rgb="FF3B3B3B"/>
        <rFont val="Consolas"/>
        <family val="3"/>
      </rPr>
      <t>: {</t>
    </r>
  </si>
  <si>
    <r>
      <t xml:space="preserve">        </t>
    </r>
    <r>
      <rPr>
        <sz val="8"/>
        <color rgb="FFA31515"/>
        <rFont val="Consolas"/>
        <family val="3"/>
      </rPr>
      <t>"BilanciUtili"</t>
    </r>
    <r>
      <rPr>
        <sz val="8"/>
        <color rgb="FF3B3B3B"/>
        <rFont val="Consolas"/>
        <family val="3"/>
      </rPr>
      <t>: {</t>
    </r>
  </si>
  <si>
    <r>
      <t xml:space="preserve">    </t>
    </r>
    <r>
      <rPr>
        <sz val="8"/>
        <color rgb="FFA31515"/>
        <rFont val="Consolas"/>
        <family val="3"/>
      </rPr>
      <t>"secur system group di romeo s.r.l."</t>
    </r>
    <r>
      <rPr>
        <sz val="8"/>
        <color rgb="FF3B3B3B"/>
        <rFont val="Consolas"/>
        <family val="3"/>
      </rPr>
      <t>: {</t>
    </r>
  </si>
  <si>
    <r>
      <t xml:space="preserve">        </t>
    </r>
    <r>
      <rPr>
        <sz val="8"/>
        <color rgb="FFA31515"/>
        <rFont val="Consolas"/>
        <family val="3"/>
      </rPr>
      <t>"InfoGenerali"</t>
    </r>
    <r>
      <rPr>
        <sz val="8"/>
        <color rgb="FF3B3B3B"/>
        <rFont val="Consolas"/>
        <family val="3"/>
      </rPr>
      <t>: {</t>
    </r>
  </si>
  <si>
    <r>
      <t xml:space="preserve">    </t>
    </r>
    <r>
      <rPr>
        <sz val="8"/>
        <color rgb="FFA31515"/>
        <rFont val="Consolas"/>
        <family val="3"/>
      </rPr>
      <t>"unica società benefit a r.l."</t>
    </r>
    <r>
      <rPr>
        <sz val="8"/>
        <color rgb="FF3B3B3B"/>
        <rFont val="Consolas"/>
        <family val="3"/>
      </rPr>
      <t>: {</t>
    </r>
  </si>
  <si>
    <r>
      <t xml:space="preserve">    </t>
    </r>
    <r>
      <rPr>
        <sz val="8"/>
        <color rgb="FFA31515"/>
        <rFont val="Consolas"/>
        <family val="3"/>
      </rPr>
      <t>"ospedale tortona società consortile a r.l."</t>
    </r>
    <r>
      <rPr>
        <sz val="8"/>
        <color rgb="FF3B3B3B"/>
        <rFont val="Consolas"/>
        <family val="3"/>
      </rPr>
      <t>: {</t>
    </r>
  </si>
  <si>
    <r>
      <t xml:space="preserve">            </t>
    </r>
    <r>
      <rPr>
        <sz val="8"/>
        <color rgb="FFA31515"/>
        <rFont val="Consolas"/>
        <family val="3"/>
      </rPr>
      <t>"Rimborso"</t>
    </r>
    <r>
      <rPr>
        <sz val="8"/>
        <color rgb="FF3B3B3B"/>
        <rFont val="Consolas"/>
        <family val="3"/>
      </rPr>
      <t>: {</t>
    </r>
  </si>
  <si>
    <r>
      <t xml:space="preserve">            </t>
    </r>
    <r>
      <rPr>
        <sz val="8"/>
        <color rgb="FFA31515"/>
        <rFont val="Consolas"/>
        <family val="3"/>
      </rPr>
      <t>"IndennitaAnnuale"</t>
    </r>
    <r>
      <rPr>
        <sz val="8"/>
        <color rgb="FF3B3B3B"/>
        <rFont val="Consolas"/>
        <family val="3"/>
      </rPr>
      <t>: {</t>
    </r>
  </si>
  <si>
    <r>
      <t xml:space="preserve">            </t>
    </r>
    <r>
      <rPr>
        <sz val="8"/>
        <color rgb="FFA31515"/>
        <rFont val="Consolas"/>
        <family val="3"/>
      </rPr>
      <t>"IndennitaCessazione"</t>
    </r>
    <r>
      <rPr>
        <sz val="8"/>
        <color rgb="FF3B3B3B"/>
        <rFont val="Consolas"/>
        <family val="3"/>
      </rPr>
      <t>: {</t>
    </r>
  </si>
  <si>
    <r>
      <t xml:space="preserve">            </t>
    </r>
    <r>
      <rPr>
        <sz val="8"/>
        <color rgb="FFA31515"/>
        <rFont val="Consolas"/>
        <family val="3"/>
      </rPr>
      <t>"PercentualeRiservaLegale"</t>
    </r>
    <r>
      <rPr>
        <sz val="8"/>
        <color rgb="FF3B3B3B"/>
        <rFont val="Consolas"/>
        <family val="3"/>
      </rPr>
      <t>: {</t>
    </r>
  </si>
  <si>
    <r>
      <t xml:space="preserve">            </t>
    </r>
    <r>
      <rPr>
        <sz val="8"/>
        <color rgb="FFA31515"/>
        <rFont val="Consolas"/>
        <family val="3"/>
      </rPr>
      <t>"CapitaleSociale"</t>
    </r>
    <r>
      <rPr>
        <sz val="8"/>
        <color rgb="FF3B3B3B"/>
        <rFont val="Consolas"/>
        <family val="3"/>
      </rPr>
      <t>: {</t>
    </r>
  </si>
  <si>
    <r>
      <t xml:space="preserve">            </t>
    </r>
    <r>
      <rPr>
        <sz val="8"/>
        <color rgb="FFA31515"/>
        <rFont val="Consolas"/>
        <family val="3"/>
      </rPr>
      <t>"TermineApprovazioneBilancio"</t>
    </r>
    <r>
      <rPr>
        <sz val="8"/>
        <color rgb="FF3B3B3B"/>
        <rFont val="Consolas"/>
        <family val="3"/>
      </rPr>
      <t>: {</t>
    </r>
  </si>
  <si>
    <r>
      <t xml:space="preserve">            </t>
    </r>
    <r>
      <rPr>
        <sz val="8"/>
        <color rgb="FFA31515"/>
        <rFont val="Consolas"/>
        <family val="3"/>
      </rPr>
      <t>"DataChiusuraEsercizio"</t>
    </r>
    <r>
      <rPr>
        <sz val="8"/>
        <color rgb="FF3B3B3B"/>
        <rFont val="Consolas"/>
        <family val="3"/>
      </rPr>
      <t>: {</t>
    </r>
  </si>
  <si>
    <r>
      <t xml:space="preserve">            </t>
    </r>
    <r>
      <rPr>
        <sz val="8"/>
        <color rgb="FFA31515"/>
        <rFont val="Consolas"/>
        <family val="3"/>
      </rPr>
      <t>"UtiliResidui"</t>
    </r>
    <r>
      <rPr>
        <sz val="8"/>
        <color rgb="FF3B3B3B"/>
        <rFont val="Consolas"/>
        <family val="3"/>
      </rPr>
      <t>: {</t>
    </r>
  </si>
  <si>
    <r>
      <t xml:space="preserve">            </t>
    </r>
    <r>
      <rPr>
        <sz val="8"/>
        <color rgb="FFA31515"/>
        <rFont val="Consolas"/>
        <family val="3"/>
      </rPr>
      <t>"Durata"</t>
    </r>
    <r>
      <rPr>
        <sz val="8"/>
        <color rgb="FF3B3B3B"/>
        <rFont val="Consolas"/>
        <family val="3"/>
      </rPr>
      <t>: {</t>
    </r>
  </si>
  <si>
    <r>
      <t xml:space="preserve">                </t>
    </r>
    <r>
      <rPr>
        <sz val="8"/>
        <color rgb="FFA31515"/>
        <rFont val="Consolas"/>
        <family val="3"/>
      </rPr>
      <t>"analyze_query"</t>
    </r>
    <r>
      <rPr>
        <sz val="8"/>
        <color rgb="FF3B3B3B"/>
        <rFont val="Consolas"/>
        <family val="3"/>
      </rPr>
      <t xml:space="preserve">: </t>
    </r>
    <r>
      <rPr>
        <sz val="8"/>
        <color rgb="FFA31515"/>
        <rFont val="Consolas"/>
        <family val="3"/>
      </rPr>
      <t>"17.887 s"</t>
    </r>
    <r>
      <rPr>
        <sz val="8"/>
        <color rgb="FF3B3B3B"/>
        <rFont val="Consolas"/>
        <family val="3"/>
      </rPr>
      <t>,</t>
    </r>
  </si>
  <si>
    <r>
      <t xml:space="preserve">                </t>
    </r>
    <r>
      <rPr>
        <sz val="8"/>
        <color rgb="FFA31515"/>
        <rFont val="Consolas"/>
        <family val="3"/>
      </rPr>
      <t>"retrieve"</t>
    </r>
    <r>
      <rPr>
        <sz val="8"/>
        <color rgb="FF3B3B3B"/>
        <rFont val="Consolas"/>
        <family val="3"/>
      </rPr>
      <t xml:space="preserve">: </t>
    </r>
    <r>
      <rPr>
        <sz val="8"/>
        <color rgb="FFA31515"/>
        <rFont val="Consolas"/>
        <family val="3"/>
      </rPr>
      <t>"0.195 s"</t>
    </r>
    <r>
      <rPr>
        <sz val="8"/>
        <color rgb="FF3B3B3B"/>
        <rFont val="Consolas"/>
        <family val="3"/>
      </rPr>
      <t>,</t>
    </r>
  </si>
  <si>
    <r>
      <t xml:space="preserve">                </t>
    </r>
    <r>
      <rPr>
        <sz val="8"/>
        <color rgb="FFA31515"/>
        <rFont val="Consolas"/>
        <family val="3"/>
      </rPr>
      <t>"pruning"</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</si>
  <si>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"generate"</t>
    </r>
    <r>
      <rPr>
        <sz val="8"/>
        <color rgb="FF3B3B3B"/>
        <rFont val="Consolas"/>
        <family val="3"/>
      </rPr>
      <t xml:space="preserve">: </t>
    </r>
    <r>
      <rPr>
        <sz val="8"/>
        <color rgb="FFA31515"/>
        <rFont val="Consolas"/>
        <family val="3"/>
      </rPr>
      <t>"82.687 s"</t>
    </r>
    <r>
      <rPr>
        <sz val="8"/>
        <color rgb="FF3B3B3B"/>
        <rFont val="Consolas"/>
        <family val="3"/>
      </rPr>
      <t>,</t>
    </r>
  </si>
  <si>
    <r>
      <t xml:space="preserve">                </t>
    </r>
    <r>
      <rPr>
        <sz val="8"/>
        <color rgb="FFA31515"/>
        <rFont val="Consolas"/>
        <family val="3"/>
      </rPr>
      <t>"re_ranking"</t>
    </r>
    <r>
      <rPr>
        <sz val="8"/>
        <color rgb="FF3B3B3B"/>
        <rFont val="Consolas"/>
        <family val="3"/>
      </rPr>
      <t xml:space="preserve">: </t>
    </r>
    <r>
      <rPr>
        <sz val="8"/>
        <color rgb="FFA31515"/>
        <rFont val="Consolas"/>
        <family val="3"/>
      </rPr>
      <t>"20.140 s"</t>
    </r>
    <r>
      <rPr>
        <sz val="8"/>
        <color rgb="FF3B3B3B"/>
        <rFont val="Consolas"/>
        <family val="3"/>
      </rPr>
      <t>,</t>
    </r>
  </si>
  <si>
    <r>
      <t xml:space="preserve">                </t>
    </r>
    <r>
      <rPr>
        <sz val="8"/>
        <color rgb="FFA31515"/>
        <rFont val="Consolas"/>
        <family val="3"/>
      </rPr>
      <t>"faster_retrieve_and_rerank"</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</si>
  <si>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"overall"</t>
    </r>
    <r>
      <rPr>
        <sz val="8"/>
        <color rgb="FF3B3B3B"/>
        <rFont val="Consolas"/>
        <family val="3"/>
      </rPr>
      <t xml:space="preserve">: </t>
    </r>
    <r>
      <rPr>
        <sz val="8"/>
        <color rgb="FFA31515"/>
        <rFont val="Consolas"/>
        <family val="3"/>
      </rPr>
      <t>"143.618 s"</t>
    </r>
    <r>
      <rPr>
        <sz val="8"/>
        <color rgb="FF3B3B3B"/>
        <rFont val="Consolas"/>
        <family val="3"/>
      </rPr>
      <t>,</t>
    </r>
  </si>
  <si>
    <r>
      <t xml:space="preserve">                </t>
    </r>
    <r>
      <rPr>
        <sz val="8"/>
        <color rgb="FFA31515"/>
        <rFont val="Consolas"/>
        <family val="3"/>
      </rPr>
      <t>"extract_sub_module"</t>
    </r>
    <r>
      <rPr>
        <sz val="8"/>
        <color rgb="FF3B3B3B"/>
        <rFont val="Consolas"/>
        <family val="3"/>
      </rPr>
      <t xml:space="preserve">: </t>
    </r>
    <r>
      <rPr>
        <sz val="8"/>
        <color rgb="FFA31515"/>
        <rFont val="Consolas"/>
        <family val="3"/>
      </rPr>
      <t>"22.619 s"</t>
    </r>
  </si>
  <si>
    <t>        Avg. Group accuracy:  0.833</t>
  </si>
  <si>
    <t>            BilanciUtili: 1.000</t>
  </si>
  <si>
    <t>            CompensoAmministratori: 1.000</t>
  </si>
  <si>
    <t>            BilanciUtili: 0.500</t>
  </si>
  <si>
    <t>        Avg. Group accuracy:  0.636</t>
  </si>
  <si>
    <t>            CompensoAmministratori: 0.750</t>
  </si>
  <si>
    <t>    Avg. Company accuracy:  0.681</t>
  </si>
  <si>
    <t>        CompensoAmministratori: 0.737</t>
  </si>
  <si>
    <t>        BilanciUtili: 0.583</t>
  </si>
  <si>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</si>
  <si>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"indennità annuale fissata o compenso proporzionale ai utili netti dell'esercizio"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</si>
  <si>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"10.000,00 (diecimila/00) diviso in quote"</t>
    </r>
  </si>
  <si>
    <r>
      <t xml:space="preserve">                </t>
    </r>
    <r>
      <rPr>
        <sz val="9"/>
        <color rgb="FFA31515"/>
        <rFont val="Consolas"/>
        <family val="3"/>
      </rPr>
      <t>"utili_residui"</t>
    </r>
    <r>
      <rPr>
        <sz val="9"/>
        <color rgb="FF3B3B3B"/>
        <rFont val="Consolas"/>
        <family val="3"/>
      </rPr>
      <t xml:space="preserve">: </t>
    </r>
    <r>
      <rPr>
        <sz val="9"/>
        <color rgb="FFA31515"/>
        <rFont val="Consolas"/>
        <family val="3"/>
      </rPr>
      <t>"accantonati a riserva legale, pari almeno a un quinto degli utili netti risultanti dal bilancio fino a che la riserva non abbia raggiunto l'ammontare del capitale. La riserva può essere utilizzata solo per imputazione a capitale e per copertura di eventuali perdite, e deve essere reintegrata in caso di diminuzione per qualsiasi ragione."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</si>
  <si>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2060, salvo proroga o scioglimento anticipato"</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</si>
  <si>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stenute per ragioni del loro ufficio, spese relative alle attività svolte nell'esercizio della carica di amministratore"</t>
    </r>
  </si>
  <si>
    <r>
      <t xml:space="preserve">                </t>
    </r>
    <r>
      <rPr>
        <sz val="9"/>
        <color rgb="FFA31515"/>
        <rFont val="Consolas"/>
        <family val="3"/>
      </rPr>
      <t>"misura_indennita"</t>
    </r>
    <r>
      <rPr>
        <sz val="9"/>
        <color rgb="FF3B3B3B"/>
        <rFont val="Consolas"/>
        <family val="3"/>
      </rPr>
      <t xml:space="preserve">: </t>
    </r>
    <r>
      <rPr>
        <sz val="9"/>
        <color rgb="FFA31515"/>
        <rFont val="Consolas"/>
        <family val="3"/>
      </rPr>
      <t>"proporzionale agli utili netti di esercizio, stabilita all'atto della loro nomina o successivamente all'atto della loro nomina o successivamente successivamente, in misura proporzionale agli utili netti di esercizio"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</si>
  <si>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"15.000,00 (euro quindicemila)"</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</si>
  <si>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"130"</t>
    </r>
  </si>
  <si>
    <r>
      <t xml:space="preserve">                </t>
    </r>
    <r>
      <rPr>
        <sz val="9"/>
        <color rgb="FFA31515"/>
        <rFont val="Consolas"/>
        <family val="3"/>
      </rPr>
      <t>"utili_residui"</t>
    </r>
    <r>
      <rPr>
        <sz val="9"/>
        <color rgb="FF3B3B3B"/>
        <rFont val="Consolas"/>
        <family val="3"/>
      </rPr>
      <t xml:space="preserve">: </t>
    </r>
    <r>
      <rPr>
        <sz val="9"/>
        <color rgb="FFA31515"/>
        <rFont val="Consolas"/>
        <family val="3"/>
      </rPr>
      <t>"Dagli utili netti risultanti dal bilancio deve essere dedotta una somma corrispondente al 5% (cinque per cento) da destinare alla riserva legale finchè questa non abbia raggiunto il quinto del capitale sociale."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</si>
  <si>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"trentuno dicembre duemilasei- cento sessanta (31 dicembre 2060)"</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</si>
  <si>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 loro ufficio, come stabilito all'art. 10"</t>
    </r>
  </si>
  <si>
    <r>
      <t xml:space="preserve">                </t>
    </r>
    <r>
      <rPr>
        <sz val="9"/>
        <color rgb="FFA31515"/>
        <rFont val="Consolas"/>
        <family val="3"/>
      </rPr>
      <t>"misura_indennita"</t>
    </r>
    <r>
      <rPr>
        <sz val="9"/>
        <color rgb="FF3B3B3B"/>
        <rFont val="Consolas"/>
        <family val="3"/>
      </rPr>
      <t xml:space="preserve">: </t>
    </r>
    <r>
      <rPr>
        <sz val="9"/>
        <color rgb="FFA31515"/>
        <rFont val="Consolas"/>
        <family val="3"/>
      </rPr>
      <t>"determinata con decisione valida fino a modifica e non può superare il limite previsto dal Codice civile (art. 2389, terzo comma)"</t>
    </r>
  </si>
  <si>
    <r>
      <t xml:space="preserve">                </t>
    </r>
    <r>
      <rPr>
        <sz val="9"/>
        <color rgb="FFA31515"/>
        <rFont val="Consolas"/>
        <family val="3"/>
      </rPr>
      <t>"utili_residui"</t>
    </r>
    <r>
      <rPr>
        <sz val="9"/>
        <color rgb="FF3B3B3B"/>
        <rFont val="Consolas"/>
        <family val="3"/>
      </rPr>
      <t xml:space="preserve">: </t>
    </r>
    <r>
      <rPr>
        <sz val="9"/>
        <color rgb="FFA31515"/>
        <rFont val="Consolas"/>
        <family val="3"/>
      </rPr>
      <t>"Distribuiti agli associati con maggioranza semplice del capitale sociale, ma in caso di mancata distribuzione, l'assemblea decide sulla destinazione degli utili residui."</t>
    </r>
  </si>
  <si>
    <r>
      <t xml:space="preserve">                </t>
    </r>
    <r>
      <rPr>
        <sz val="9"/>
        <color rgb="FFA31515"/>
        <rFont val="Consolas"/>
        <family val="3"/>
      </rPr>
      <t>"misura_indennita"</t>
    </r>
    <r>
      <rPr>
        <sz val="9"/>
        <color rgb="FF3B3B3B"/>
        <rFont val="Consolas"/>
        <family val="3"/>
      </rPr>
      <t xml:space="preserve">: </t>
    </r>
    <r>
      <rPr>
        <sz val="9"/>
        <color rgb="FFA31515"/>
        <rFont val="Consolas"/>
        <family val="3"/>
      </rPr>
      <t>"proporzionale alla loro partecipazione sociale, come previsto all'articolo 26, punto B) del statuto"</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</si>
  <si>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"180"</t>
    </r>
    <r>
      <rPr>
        <sz val="9"/>
        <color rgb="FF3B3B3B"/>
        <rFont val="Consolas"/>
        <family val="3"/>
      </rPr>
      <t>,</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</si>
  <si>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dicembre di ogni anno"</t>
    </r>
  </si>
  <si>
    <r>
      <t xml:space="preserve">            </t>
    </r>
    <r>
      <rPr>
        <sz val="9"/>
        <color rgb="FFA31515"/>
        <rFont val="Consolas"/>
        <family val="3"/>
      </rPr>
      <t>"retrieved_docs"</t>
    </r>
    <r>
      <rPr>
        <sz val="9"/>
        <color rgb="FF3B3B3B"/>
        <rFont val="Consolas"/>
        <family val="3"/>
      </rPr>
      <t>: {</t>
    </r>
  </si>
  <si>
    <r>
      <t xml:space="preserve">                </t>
    </r>
    <r>
      <rPr>
        <sz val="9"/>
        <color rgb="FFA31515"/>
        <rFont val="Consolas"/>
        <family val="3"/>
      </rPr>
      <t>"Rimborso"</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</si>
  <si>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11</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</si>
  <si>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11</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</si>
  <si>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"re_ranked_docs"</t>
    </r>
    <r>
      <rPr>
        <sz val="9"/>
        <color rgb="FF3B3B3B"/>
        <rFont val="Consolas"/>
        <family val="3"/>
      </rPr>
      <t>: {</t>
    </r>
  </si>
  <si>
    <r>
      <t xml:space="preserve">                </t>
    </r>
    <r>
      <rPr>
        <sz val="9"/>
        <color rgb="FFA31515"/>
        <rFont val="Consolas"/>
        <family val="3"/>
      </rPr>
      <t>"Rimborso"</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32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</si>
  <si>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</si>
  <si>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</si>
  <si>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</si>
  <si>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28</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</si>
  <si>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20</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</si>
  <si>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</si>
  <si>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4</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</si>
  <si>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30</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</si>
  <si>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</si>
  <si>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23</t>
    </r>
    <r>
      <rPr>
        <sz val="9"/>
        <color rgb="FF3B3B3B"/>
        <rFont val="Consolas"/>
        <family val="3"/>
      </rPr>
      <t>,</t>
    </r>
    <r>
      <rPr>
        <sz val="9"/>
        <color rgb="FF098658"/>
        <rFont val="Consolas"/>
        <family val="3"/>
      </rPr>
      <t>28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</si>
  <si>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21</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32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</si>
  <si>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</si>
  <si>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</si>
  <si>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</si>
  <si>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45</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</si>
  <si>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</si>
  <si>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46</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</si>
  <si>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48</t>
    </r>
    <r>
      <rPr>
        <sz val="9"/>
        <color rgb="FF3B3B3B"/>
        <rFont val="Consolas"/>
        <family val="3"/>
      </rPr>
      <t xml:space="preserve">, </t>
    </r>
    <r>
      <rPr>
        <sz val="9"/>
        <color rgb="FF098658"/>
        <rFont val="Consolas"/>
        <family val="3"/>
      </rPr>
      <t>50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</si>
  <si>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</si>
  <si>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57</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</si>
  <si>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57</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</si>
  <si>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33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</si>
  <si>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</si>
  <si>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</si>
  <si>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57</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</si>
  <si>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55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</si>
  <si>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36</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</si>
  <si>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33</t>
    </r>
    <r>
      <rPr>
        <sz val="9"/>
        <color rgb="FF3B3B3B"/>
        <rFont val="Consolas"/>
        <family val="3"/>
      </rPr>
      <t>,</t>
    </r>
    <r>
      <rPr>
        <sz val="9"/>
        <color rgb="FF098658"/>
        <rFont val="Consolas"/>
        <family val="3"/>
      </rPr>
      <t>41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</si>
  <si>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</si>
  <si>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</si>
  <si>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</si>
  <si>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</si>
  <si>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</si>
  <si>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</si>
  <si>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</si>
  <si>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73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</si>
  <si>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</si>
  <si>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</si>
  <si>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72</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66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</si>
  <si>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64</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66</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</si>
  <si>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</si>
  <si>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80</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</si>
  <si>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</si>
  <si>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65</t>
    </r>
    <r>
      <rPr>
        <sz val="9"/>
        <color rgb="FF3B3B3B"/>
        <rFont val="Consolas"/>
        <family val="3"/>
      </rPr>
      <t xml:space="preserve">, </t>
    </r>
    <r>
      <rPr>
        <sz val="9"/>
        <color rgb="FF098658"/>
        <rFont val="Consolas"/>
        <family val="3"/>
      </rPr>
      <t>73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</si>
  <si>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64</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</si>
  <si>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61</t>
    </r>
    <r>
      <rPr>
        <sz val="9"/>
        <color rgb="FF3B3B3B"/>
        <rFont val="Consolas"/>
        <family val="3"/>
      </rPr>
      <t>,</t>
    </r>
    <r>
      <rPr>
        <sz val="9"/>
        <color rgb="FF098658"/>
        <rFont val="Consolas"/>
        <family val="3"/>
      </rPr>
      <t>69</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</si>
  <si>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80</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</si>
  <si>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80</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</si>
  <si>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</si>
  <si>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</si>
  <si>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</si>
  <si>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</si>
  <si>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81</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</si>
  <si>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</si>
  <si>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</si>
  <si>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81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</si>
  <si>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94</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</si>
  <si>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87</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111</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112</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</si>
  <si>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109</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</si>
  <si>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110</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</si>
  <si>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109</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</si>
  <si>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81</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</si>
  <si>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88</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</si>
  <si>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110</t>
    </r>
    <r>
      <rPr>
        <sz val="9"/>
        <color rgb="FF3B3B3B"/>
        <rFont val="Consolas"/>
        <family val="3"/>
      </rPr>
      <t>,</t>
    </r>
    <r>
      <rPr>
        <sz val="9"/>
        <color rgb="FF098658"/>
        <rFont val="Consolas"/>
        <family val="3"/>
      </rPr>
      <t>109</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</si>
  <si>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110</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</si>
  <si>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110</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</si>
  <si>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87</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112</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</si>
  <si>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81</t>
    </r>
    <r>
      <rPr>
        <sz val="9"/>
        <color rgb="FF3B3B3B"/>
        <rFont val="Consolas"/>
        <family val="3"/>
      </rPr>
      <t xml:space="preserve">, </t>
    </r>
    <r>
      <rPr>
        <sz val="9"/>
        <color rgb="FF098658"/>
        <rFont val="Consolas"/>
        <family val="3"/>
      </rPr>
      <t>87</t>
    </r>
    <r>
      <rPr>
        <sz val="9"/>
        <color rgb="FF3B3B3B"/>
        <rFont val="Consolas"/>
        <family val="3"/>
      </rPr>
      <t>]</t>
    </r>
  </si>
  <si>
    <r>
      <t xml:space="preserve">TEST 1: </t>
    </r>
    <r>
      <rPr>
        <sz val="11"/>
        <color theme="1"/>
        <rFont val="Calibri"/>
        <family val="2"/>
        <scheme val="minor"/>
      </rPr>
      <t>Custom Chunking (pre-def patterns)</t>
    </r>
  </si>
  <si>
    <r>
      <rPr>
        <b/>
        <sz val="11"/>
        <color theme="1"/>
        <rFont val="Calibri"/>
        <family val="2"/>
        <scheme val="minor"/>
      </rPr>
      <t xml:space="preserve">Ingestion: </t>
    </r>
    <r>
      <rPr>
        <sz val="11"/>
        <color theme="1"/>
        <rFont val="Calibri"/>
        <family val="2"/>
        <scheme val="minor"/>
      </rPr>
      <t>Chunking by pre-def patterns</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</si>
  <si>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t>
    </r>
  </si>
  <si>
    <r>
      <t xml:space="preserve">RAG Pipeline: </t>
    </r>
    <r>
      <rPr>
        <sz val="11"/>
        <color theme="1"/>
        <rFont val="Calibri"/>
        <family val="2"/>
        <scheme val="minor"/>
      </rPr>
      <t>analyze_query, retrieve, re-rank, generate</t>
    </r>
  </si>
  <si>
    <r>
      <rPr>
        <b/>
        <sz val="11"/>
        <color theme="1"/>
        <rFont val="Calibri"/>
        <family val="2"/>
        <scheme val="minor"/>
      </rPr>
      <t xml:space="preserve">Ingestion: </t>
    </r>
    <r>
      <rPr>
        <sz val="11"/>
        <color theme="1"/>
        <rFont val="Calibri"/>
        <family val="2"/>
        <scheme val="minor"/>
      </rPr>
      <t>Chunking by fixed size  (size=430, overlap=105)</t>
    </r>
  </si>
  <si>
    <t xml:space="preserve">Note: </t>
  </si>
  <si>
    <t xml:space="preserve">"_x000D_
---------------------------------------- CHUNK 0 ----------------------------------------_x000D_
Azienda:  ospedale tortona società consortile a r.l. _x000D_
_x000D_
Allegato B_x000D_
Repertorio Numero 2771_x000D_
Raccolta Numero 1983_x000D_
S T A T U T O_x000D_
Allegato “A” al Rep.  N. 10711 di Racc. N. 7935    _x000D_
Statuto_x000D_
2. SEDE_x000D_
La società ha sede nel comune di Genova all’indirizzo iscrio nel registro delle imprese. _x000D_
_x000D_
_x000D_
---------------------------------------- CHUNK 1 ----------------------------------------_x000D_
Azienda:  poliambulatorio 3d s.r.l. _x000D_
_x000D_
STATUTO DELLA SOCIETA' A RESPONSABILITA' LIMITATA DENOMINATA_x000D_
POLIAMBULATORIO 3D S.R.L." </t>
  </si>
  <si>
    <t xml:space="preserve">Azienda:  poliambulatorio 3d s.r.l. </t>
  </si>
  <si>
    <t xml:space="preserve">denominata "POLIAMBULATORIO 3D S.R.L.". </t>
  </si>
  <si>
    <t xml:space="preserve">svolta d a professionisti i scritti n egli a ppositi a lbi o </t>
  </si>
  <si>
    <t xml:space="preserve">ipotecari, a perture d i c redito e  l ’emissione d i t itoli d i </t>
  </si>
  <si>
    <t xml:space="preserve">dell’oggetto sociale. </t>
  </si>
  <si>
    <t xml:space="preserve">filiali ovunque lo ritenga opportuno. </t>
  </si>
  <si>
    <t xml:space="preserve">2060, salvo proroga o scioglimento anticipato. </t>
  </si>
  <si>
    <t xml:space="preserve">società. </t>
  </si>
  <si>
    <t xml:space="preserve">del 12.12.1994 della Banca d'Italia. </t>
  </si>
  <si>
    <t xml:space="preserve">cui infra, fermo il principio che viene attribuita natura ed </t>
  </si>
  <si>
    <t xml:space="preserve">di p relazione d ovranno, a  l oro v olta, c omunicare a l </t>
  </si>
  <si>
    <t xml:space="preserve">6.2.2 Il diritto di prelazione spetta ai soci anche quando </t>
  </si>
  <si>
    <t xml:space="preserve">proprietari. </t>
  </si>
  <si>
    <t xml:space="preserve">i soci superstiti e gli eredi del socio defunto. </t>
  </si>
  <si>
    <t xml:space="preserve">concorrenza di cui all' articolo 2390 c.c. </t>
  </si>
  <si>
    <t xml:space="preserve">caso di numero dispari, si applica l'articolo 2386 c.c. </t>
  </si>
  <si>
    <t xml:space="preserve">valide, a nche s enza c onvocazione f ormale, q uando </t>
  </si>
  <si>
    <t xml:space="preserve">le garanzie previste in materia di assemblea. </t>
  </si>
  <si>
    <t xml:space="preserve">dei soci la nomina di un nuovo organo amministrativo. </t>
  </si>
  <si>
    <t xml:space="preserve">12.6 Qualora l'amministrazione sia affidata disgiuntamente a </t>
  </si>
  <si>
    <t xml:space="preserve">competenti a decidere sull'opposizione sono i soci. </t>
  </si>
  <si>
    <t xml:space="preserve">consiglio di amministrazione al momento della nomina. </t>
  </si>
  <si>
    <t xml:space="preserve">viene inviato, a cura dell'Organo Amministrativo, a ciascun </t>
  </si>
  <si>
    <t xml:space="preserve">soci a cura dell'Organo Amministrativo. </t>
  </si>
  <si>
    <t xml:space="preserve">sottoscrizione, da parte di tutti i soci consenzienti, di un </t>
  </si>
  <si>
    <t xml:space="preserve">richiesta di verbalizzazione del relativo esito. </t>
  </si>
  <si>
    <t xml:space="preserve">partecipazione. </t>
  </si>
  <si>
    <t xml:space="preserve">nell'adunanza prevista in prima convocazione l'assemblea non </t>
  </si>
  <si>
    <t xml:space="preserve">e di non opporsi alla trattazione degli stessi. </t>
  </si>
  <si>
    <t xml:space="preserve">verbalizzazione; </t>
  </si>
  <si>
    <t xml:space="preserve">videoconferenza. </t>
  </si>
  <si>
    <t xml:space="preserve">indipendentemente dal loro ordine del giorno. </t>
  </si>
  <si>
    <t xml:space="preserve">moroso), si applica l'articolo 2368, comma 3 c.c. </t>
  </si>
  <si>
    <t xml:space="preserve">salvo diversa decisione dei soci. </t>
  </si>
  <si>
    <t xml:space="preserve">assegnazione ai soci di beni in natura. </t>
  </si>
  <si>
    <t xml:space="preserve">28/2010 e successive modifiche e/o integrazioni. </t>
  </si>
  <si>
    <t xml:space="preserve">Azienda:  ospedale tortona società consortile a r.l. </t>
  </si>
  <si>
    <t xml:space="preserve">in sigla "OT SCARL". </t>
  </si>
  <si>
    <t xml:space="preserve">e/o amministrative, succursali, agenzie, uffici e rappresentanze. </t>
  </si>
  <si>
    <t xml:space="preserve">all'estinzione di ogni rapporto con il Committente e coi terzi. </t>
  </si>
  <si>
    <t xml:space="preserve">Regolamento interno è approvato all’unanimità dall’Assemblea dei soci. </t>
  </si>
  <si>
    <t xml:space="preserve">diverso corrispettivo (nel caso di permuta, compens azione volontaria, </t>
  </si>
  <si>
    <t xml:space="preserve">socio cessionario. Da tale momento il socio cedente  e cessionario dovranno </t>
  </si>
  <si>
    <t xml:space="preserve">esercitare la prelazione. </t>
  </si>
  <si>
    <t xml:space="preserve">stati espressamente comunicati da detti soggetti. </t>
  </si>
  <si>
    <t xml:space="preserve">assunte ai sensi di legge e di Statuto. </t>
  </si>
  <si>
    <t xml:space="preserve">8.4. L'Assemblea viene convocata, per l'approvazion e del bilancio, almeno </t>
  </si>
  <si>
    <t xml:space="preserve">verbalizzante. </t>
  </si>
  <si>
    <t xml:space="preserve">dell’Assemblea. </t>
  </si>
  <si>
    <t xml:space="preserve">l’Organo amministrativo lo ritengano opportuno. </t>
  </si>
  <si>
    <t xml:space="preserve">che consti l’autorizzazione dell’Assemblea al compimento dell’atto. </t>
  </si>
  <si>
    <t xml:space="preserve">i suoi membri un Presidente e un Vice Presidente, determinandone i poteri. </t>
  </si>
  <si>
    <t xml:space="preserve">stesura e la sottoscrizione del verbale sul relativo libro. </t>
  </si>
  <si>
    <t xml:space="preserve">Amministrazione e alla Società. </t>
  </si>
  <si>
    <t xml:space="preserve">16.2. </t>
  </si>
  <si>
    <t>---------------------------------------- CHUNK 62 ----------------------------------------</t>
  </si>
  <si>
    <t xml:space="preserve">collegio medesimo, secondo quanto verrà. </t>
  </si>
  <si>
    <t>---------------------------------------- CHUNK 63 ----------------------------------------</t>
  </si>
  <si>
    <t xml:space="preserve">competenza. </t>
  </si>
  <si>
    <t>---------------------------------------- CHUNK 64 ----------------------------------------</t>
  </si>
  <si>
    <t xml:space="preserve">funzionamento. </t>
  </si>
  <si>
    <t>---------------------------------------- CHUNK 65 ----------------------------------------</t>
  </si>
  <si>
    <t xml:space="preserve">Società Consortile quale costo di gestione. </t>
  </si>
  <si>
    <t>---------------------------------------- CHUNK 66 ----------------------------------------</t>
  </si>
  <si>
    <t xml:space="preserve">disavanzi. </t>
  </si>
  <si>
    <t>---------------------------------------- CHUNK 67 ----------------------------------------</t>
  </si>
  <si>
    <t xml:space="preserve">legale iscritto nell’apposito registro. </t>
  </si>
  <si>
    <t>---------------------------------------- CHUNK 68 ----------------------------------------</t>
  </si>
  <si>
    <t xml:space="preserve">concorso all’approvazione della delibera di proroga della società. </t>
  </si>
  <si>
    <t>---------------------------------------- CHUNK 69 ----------------------------------------</t>
  </si>
  <si>
    <t xml:space="preserve">con termine di adempimento non inferiore a giorni 60(sessanta). </t>
  </si>
  <si>
    <t>---------------------------------------- CHUNK 70 ----------------------------------------</t>
  </si>
  <si>
    <t xml:space="preserve">per conto del socio consorziato escluso; </t>
  </si>
  <si>
    <t>---------------------------------------- CHUNK 71 ----------------------------------------</t>
  </si>
  <si>
    <t xml:space="preserve">liquidazione della sua quota di partecipazione alla  Società, gli altri soci </t>
  </si>
  <si>
    <t>---------------------------------------- CHUNK 72 ----------------------------------------</t>
  </si>
  <si>
    <t xml:space="preserve">dalla stessa Società o dagli altri soci consorziati. </t>
  </si>
  <si>
    <t>---------------------------------------- CHUNK 73 ----------------------------------------</t>
  </si>
  <si>
    <t xml:space="preserve">- spetta il diritto personale e inalienabile di nom inare 1 (uno) componente </t>
  </si>
  <si>
    <t>---------------------------------------- CHUNK 74 ----------------------------------------</t>
  </si>
  <si>
    <t xml:space="preserve">da adottarsi col consenso unanime di tutti i soci. </t>
  </si>
  <si>
    <t>---------------------------------------- CHUNK 75 ----------------------------------------</t>
  </si>
  <si>
    <t xml:space="preserve">27.2. In tal caso l'Assemblea provvederà alla nomina di uno o più liquidatori. </t>
  </si>
  <si>
    <t>---------------------------------------- CHUNK 76 ----------------------------------------</t>
  </si>
  <si>
    <t xml:space="preserve">queste inerenti, sarà competente in via esclusiva il Foro di Milano. </t>
  </si>
  <si>
    <t>---------------------------------------- CHUNK 77 ----------------------------------------</t>
  </si>
  <si>
    <t>---------------------------------------- CHUNK 78 ----------------------------------------</t>
  </si>
  <si>
    <t xml:space="preserve">Azienda:  unica società benefit a r.l. </t>
  </si>
  <si>
    <t>È costuita una società a responsabilità limitata con la seguente denominazione: "UNICA SOCIETÀ BENEFIT</t>
  </si>
  <si>
    <t xml:space="preserve">A R.L.”. </t>
  </si>
  <si>
    <t>---------------------------------------- CHUNK 79 ----------------------------------------</t>
  </si>
  <si>
    <t>3. ATTIVITA' SOCIALE</t>
  </si>
  <si>
    <t xml:space="preserve">3.1. La Società, in qualità di Società Beneﬁt, ai sensi e per gli eﬀe della Legge 28 dicembre 2015, arcolo </t>
  </si>
  <si>
    <t xml:space="preserve">unico, commi 376-384 (la "Legge di Stabilità 2016"), intende impegnarsi e perseguire una o più ﬁnalità di </t>
  </si>
  <si>
    <t xml:space="preserve">beneﬁcio comune e operare in modo responsabile, sostenibile e trasparente nei confron di persone, sogge </t>
  </si>
  <si>
    <t xml:space="preserve">priva e pubblici in qualsiasi forma organizzata, comunità, territori e ambiente, beni e avità culturali e </t>
  </si>
  <si>
    <t xml:space="preserve">sociali, en e associazioni e altri portatori di interesse, nel rispeo dei valori fondamentali della donna e </t>
  </si>
  <si>
    <t xml:space="preserve">dell’uomo. </t>
  </si>
  <si>
    <t xml:space="preserve">Ha altresì come scopo il perseguimento di un ule derivante dalla vendita di servizi, sostenendo la </t>
  </si>
  <si>
    <t xml:space="preserve">soddisfazione di tu quan ne facciano parte, sia come soci che in altri ruoli, araverso un movante e serio </t>
  </si>
  <si>
    <t>impegno in una auspicata prospera avità economica.</t>
  </si>
  <si>
    <t xml:space="preserve">3.2. La Società, a mezzo decisione dell'organo amministravo, comunicata nella prima assemblea successiva </t>
  </si>
  <si>
    <t xml:space="preserve">ai soci, individua il soggeo a cui aﬃdare le funzioni e i compi vol al perseguimento delle ﬁnalità di </t>
  </si>
  <si>
    <t xml:space="preserve">beneﬁcio comune. </t>
  </si>
  <si>
    <t xml:space="preserve">3.3. Il soggeo responsabile è denominato "Responsabile dell'Impao". Quest'ulmo risponderà nei limi dei </t>
  </si>
  <si>
    <t xml:space="preserve">poteri conferigli. Il soggeo nominato Responsabile dell'Impao rimarrà in carica per un periodo, comunque </t>
  </si>
  <si>
    <t xml:space="preserve">non superiore a 3 (tre) esercizi, stabilito all'ao della nomina e scadrà alla data dell'Assemblea convocata per </t>
  </si>
  <si>
    <t xml:space="preserve">l'approvazione del bilancio relavo all'ulmo esercizio della carica ed è rieleggibile. </t>
  </si>
  <si>
    <t xml:space="preserve">3.4. L'Organo Amministravo redige annualmente una relazione relava al perseguimento del beneﬁcio </t>
  </si>
  <si>
    <t xml:space="preserve">comune, allegata al bilancio, che include le informazioni previste dalla legge per tale relazione. La relazione è </t>
  </si>
  <si>
    <t>---------------------------------------- CHUNK 80 ----------------------------------------</t>
  </si>
  <si>
    <t xml:space="preserve">resa pubblica araverso il sito internet della Società e in ogni altra forma che il Responsabile dell'Impao </t>
  </si>
  <si>
    <t xml:space="preserve">dovesse ritenere ule ai ﬁni della massimizzazione della trasparenza. </t>
  </si>
  <si>
    <t xml:space="preserve">3.5. La valutazione dell'impao generato dal perseguimento delle ﬁnalità di beneﬁcio comune verrà eﬀeuata </t>
  </si>
  <si>
    <t>dalla Società sulla base delle caraerische individuate dagli standard di valutazione previs dalla legge.</t>
  </si>
  <si>
    <t xml:space="preserve">3.6. La Società ha per oggeo le seguen avità: </t>
  </si>
  <si>
    <t xml:space="preserve">La Società ha per oggeo le seguen avità: </t>
  </si>
  <si>
    <t xml:space="preserve">- l'organizzazione in proprio e per conto terzi di intraenimen danzan, musicali speacoli teatrali, sporvi, </t>
  </si>
  <si>
    <t>congressi, ﬁere, mostre, e relavi servizi di assistenza;</t>
  </si>
  <si>
    <t>- l'avita' di agenzia teatrale per speacoli, concer, intraenimen danzan;</t>
  </si>
  <si>
    <t>- la produzione digitale e videograﬁca e la sua commercializzazione;</t>
  </si>
  <si>
    <t xml:space="preserve">- realizzazione e produzione di ﬁlm, docu-ﬁlm, serie televisive, programmi </t>
  </si>
  <si>
    <t>radio/televisivi/cinematograﬁci/pubblicitari e audiovisivi e la relava commercializzazione;</t>
  </si>
  <si>
    <t xml:space="preserve">- il noleggio, l'acquisto e la vendita di strumen musicali e apparecchiature ineren le avita' dell'oggeo </t>
  </si>
  <si>
    <t>sociale</t>
  </si>
  <si>
    <t xml:space="preserve">- ricerca di mercato, pubblicità e pubbliche relazioni; </t>
  </si>
  <si>
    <t>---------------------------------------- CHUNK 81 ----------------------------------------</t>
  </si>
  <si>
    <t>- ricerca di mercato, pubblicità e pubbliche relazioni;</t>
  </si>
  <si>
    <t xml:space="preserve">3.7. La Società potrà compiere tue le operazioni commerciali, industriali e ﬁnanziarie, mobiliari ed </t>
  </si>
  <si>
    <t xml:space="preserve">immobiliari, ritenute dall'organo amministravo uli o necessarie per il conseguimento dell'oggeo sociale. </t>
  </si>
  <si>
    <t xml:space="preserve">Potrà altresì assumere partecipazioni od interessenze in altre società, consorzi, en, società consorli, nei </t>
  </si>
  <si>
    <t xml:space="preserve">limi consen dalla legge, in raggruppamen od associazioni di imprese anche temporanee ed anche </t>
  </si>
  <si>
    <t xml:space="preserve">operan nell'ambito internazionale. Si intende espressamente che tali avità non siano tra quelle protee </t>
  </si>
  <si>
    <t>dalla legge e riservate agli iscri a collegi, ordini od albi professionali.</t>
  </si>
  <si>
    <t xml:space="preserve">3.8. La Società potrà compiere qualsiasi operazione mobiliare, immobiliare, industriale, commerciale e </t>
  </si>
  <si>
    <t xml:space="preserve">ﬁnanziaria, assumere partecipazioni in altre Società ed imprese aven oggeo analogo o aﬃne al proprio, </t>
  </si>
  <si>
    <t xml:space="preserve">prestare avalli, ﬁdeiussioni, pegni, ipoteche ed ogni altra garanzia in genere, anche reale, nell'interesse di </t>
  </si>
  <si>
    <t xml:space="preserve">persone, società, cooperave, consorzi ed en collega o non con la società, che siano richieste da banche, </t>
  </si>
  <si>
    <t xml:space="preserve">casse di risparmio, istu di credito e ﬁnanziari in genere. </t>
  </si>
  <si>
    <t>---------------------------------------- CHUNK 82 ----------------------------------------</t>
  </si>
  <si>
    <t>4. DURATA</t>
  </si>
  <si>
    <t xml:space="preserve">La durata della società è ﬁssata ﬁno al 31 dicembre 2080 e potrà essere prorogata una o più volte con </t>
  </si>
  <si>
    <t xml:space="preserve">deliberazione dell’assemblea. </t>
  </si>
  <si>
    <t>---------------------------------------- CHUNK 83 ----------------------------------------</t>
  </si>
  <si>
    <t>5. RAPPORTI CON I SOCI</t>
  </si>
  <si>
    <t xml:space="preserve">Tu i da personali ed il domicilio dei soci, per i loro rappor con la società, a qualunque ﬁne rilevan, sono </t>
  </si>
  <si>
    <t xml:space="preserve">quelli risultan dal registro delle imprese, salvo che la società volontariamente non ado il libro soci, che, </t>
  </si>
  <si>
    <t xml:space="preserve">nei limi consen dalla legge, terrà luogo delle risultanze del registro delle imprese. </t>
  </si>
  <si>
    <t>---------------------------------------- CHUNK 84 ----------------------------------------</t>
  </si>
  <si>
    <t>6. CAPITALE - FINANZIAMENTI</t>
  </si>
  <si>
    <t>6.1 Capitale sociale</t>
  </si>
  <si>
    <t>Il capitale è di euro 12.000,00 (dodicimila virgola zero zero).</t>
  </si>
  <si>
    <t>6.2 Aumento del capitale sociale</t>
  </si>
  <si>
    <t xml:space="preserve">Il capitale sociale può essere aumentato mediante versamen in denaro o conferimen in natura, secondo </t>
  </si>
  <si>
    <t>quanto deciso dai soci.</t>
  </si>
  <si>
    <t xml:space="preserve">Le partecipazioni dei soci possono essere determinate anche in misura non proporzionale ai rispevi </t>
  </si>
  <si>
    <t>conferimen.</t>
  </si>
  <si>
    <t xml:space="preserve">Il dirio di sooscrizione preferenziale previsto dalla legge in caso di aumento del capitale sociale non spea </t>
  </si>
  <si>
    <t>nei casi in cui l'aumento debba essere eseguito mediante conferimen in natura.</t>
  </si>
  <si>
    <t xml:space="preserve">I soci possono decidere, con eccezione del caso di cui all'art. 2482-ter, di desnare espressamente a terzi </t>
  </si>
  <si>
    <t xml:space="preserve">l'aumento di capitale sociale, con le ordinarie maggioranze di legge (ove qui non derogate) e fermo restando, </t>
  </si>
  <si>
    <t>in favore dei soci che non abbiano consento alla decisione, il dirio di recesso di cui all'art. 2473 c.c.</t>
  </si>
  <si>
    <t>6.3 Finanziamen dei soci</t>
  </si>
  <si>
    <t xml:space="preserve">I ﬁnanziamen dei soci, eﬀeuabili, su base volontaria, nel rispeo delle norme in vigore e delle deliberazioni </t>
  </si>
  <si>
    <t xml:space="preserve">del Comitato Interministeriale per il Credito ed il Risparmio e sempre che ricorrano i requisi che non facciano </t>
  </si>
  <si>
    <t xml:space="preserve">considerare de ﬁnanziamen avità di raccolta del risparmio, ai sensi della normava in materia bancaria </t>
  </si>
  <si>
    <t>e credizia, sono improduvi di interessi salva diversa decisione dei soci.</t>
  </si>
  <si>
    <t>6.4 Emissione di toli di debito</t>
  </si>
  <si>
    <t>La società può emeere toli di debito ai sensi dell'art. 2483 c.c.</t>
  </si>
  <si>
    <t xml:space="preserve">La decisione relava all'emissione dei toli di debito è aribuita alla competenza dei soci </t>
  </si>
  <si>
    <t>---------------------------------------- CHUNK 85 ----------------------------------------</t>
  </si>
  <si>
    <t>7. PARTECIPAZIONE SOCIALE E SUA CIRCOLAZIONE</t>
  </si>
  <si>
    <t>7.1 Diri dei soci</t>
  </si>
  <si>
    <t xml:space="preserve">I diri sociali speano ai soci in misura proporzionale alla partecipazione da ciascuno vantata, fao salvo </t>
  </si>
  <si>
    <t>quanto eventualmente previsto nel presente statuto.</t>
  </si>
  <si>
    <t>7.2 Diri parcolari</t>
  </si>
  <si>
    <t xml:space="preserve">Per decisione unanime dei soci potranno essere aribui a singoli soci parcolari diri, amministravi o </t>
  </si>
  <si>
    <t>patrimoniali, nei limi di legge. De diri sono modiﬁcabili con decisione unanime dei soci.</t>
  </si>
  <si>
    <t xml:space="preserve">Il trasferimento della partecipazione in tuo o in parte, per ao tra vivi ovvero per causa di morte (sia essa a </t>
  </si>
  <si>
    <t xml:space="preserve">tolo universale che a tolo parcolare) non comporta alcun trasferimento o aribuzione al soggeo </t>
  </si>
  <si>
    <t xml:space="preserve">acquirente dei diri parcolari già spean ai sensi del presente statuto in capo al socio trasferente ovvero </t>
  </si>
  <si>
    <t>al de cuius. In tali casi, de diri parcolari si esnguono.</t>
  </si>
  <si>
    <t>7.3 Prelazione</t>
  </si>
  <si>
    <t xml:space="preserve">Il socio che intende trasferire, a qualunque tolo, anche gratuito e liberale, la propria partecipazione deve </t>
  </si>
  <si>
    <t xml:space="preserve">informarne con leera raccomandata l'organo amministravo, il quale ne darà immediata comunicazione agli </t>
  </si>
  <si>
    <t>altri soci.</t>
  </si>
  <si>
    <t xml:space="preserve">Ques ulmi potranno rendersi acquiren della quota da alienare in proporzione delle quote rispevamente </t>
  </si>
  <si>
    <t xml:space="preserve">possedute, in modo da lasciare immutato il preesistente rapporto di partecipazione al capitale sociale, faa </t>
  </si>
  <si>
    <t xml:space="preserve">salva la possibilità di acquisto dell’intero nel caso vi sia un unico socio che voglia esercitare la prelazione, </t>
  </si>
  <si>
    <t>come infra meglio precisato.</t>
  </si>
  <si>
    <t xml:space="preserve">Il dirio di prelazione statutaria è esercitabile a parità di condizioni, per cui il socio che lo esercita dovrà </t>
  </si>
  <si>
    <t xml:space="preserve">corrispondere al socio che intende alienare un valore proporzionalmente corrispondente al prezzo oﬀerto dal </t>
  </si>
  <si>
    <t xml:space="preserve">terzo proponente l'acquisto e dovrà concludere il contrao alle medesime condizioni negoziali. </t>
  </si>
  <si>
    <t>---------------------------------------- CHUNK 86 ----------------------------------------</t>
  </si>
  <si>
    <t>terzo proponente l'acquisto e dovrà concludere il contrao alle medesime condizioni negoziali.</t>
  </si>
  <si>
    <t xml:space="preserve">Nel caso di trasferimen gratui, liberali ovvero onerosi ma contro corrispevo infungibile, il valore della </t>
  </si>
  <si>
    <t xml:space="preserve">partecipazione, da corrispondere al socio che intende alienare, dovrà essere stabilito, d'accordo le par, in </t>
  </si>
  <si>
    <t xml:space="preserve">base al reale valore del patrimonio della società al tempo della cessione. Nel caso di mancato accordo sulla </t>
  </si>
  <si>
    <t>determinazione del deo valore, si farà ricorso ad un arbitratore, nominato di comune accordo tra le par in</t>
  </si>
  <si>
    <t xml:space="preserve">contestazione ovvero, in caso di disaccordo, dal Presidente del Tribunale competente per territorio. </t>
  </si>
  <si>
    <t>L'arbitratore nominato agirà ai sensi dell'art. 1349, comma 1, c.c.</t>
  </si>
  <si>
    <t xml:space="preserve">La comunicazione di alienazione dovrà indicare, in ogni caso espressamente, le generalità del terzo </t>
  </si>
  <si>
    <t xml:space="preserve">preponente l’acquisto, il corrispevo oﬀerto con impegno vincolante (allegando copia del documento </t>
  </si>
  <si>
    <t xml:space="preserve">aestante tale impegno) ed ogni altra condizione dell'alienazione che, in relazione al concreto contrao ed a </t>
  </si>
  <si>
    <t xml:space="preserve">tu gli elemen determinan dello speciﬁco consenso, permeano la conclusione del trasferimento </t>
  </si>
  <si>
    <t xml:space="preserve">mediante semplice acceazione da parte dell'avente dirio alla prelazione. La dea comunicazione ha infa, </t>
  </si>
  <si>
    <t xml:space="preserve">per espresso pao, natura di proposta, ancorché revocabile nei termini e nei modi di legge. </t>
  </si>
  <si>
    <t>---------------------------------------- CHUNK 87 ----------------------------------------</t>
  </si>
  <si>
    <t>per espresso pao, natura di proposta, ancorché revocabile nei termini e nei modi di legge.</t>
  </si>
  <si>
    <t xml:space="preserve">Entro 30 (trenta) giorni da quello in cui è faa la comunicazione i soci dovranno comunicare all'organo </t>
  </si>
  <si>
    <t>amministravo se intendono acquistare.</t>
  </si>
  <si>
    <t xml:space="preserve">In mancanza di tale comunicazione nell'indicato termine, si considerano rinunciatari. In tal caso la quota </t>
  </si>
  <si>
    <t xml:space="preserve">oﬀerta in vendita può essere interamente acquistata dal socio o dai soci (in proporzione delle quote </t>
  </si>
  <si>
    <t>rispevamente possedute) che avranno nei termini comunicato di voler acquistare.</t>
  </si>
  <si>
    <t xml:space="preserve">Qualora il dirio di prelazione non sia esercitato dalla parte ricevente (ovvero sia esercitato solo per parte </t>
  </si>
  <si>
    <t xml:space="preserve">della partecipazione) entro il termine di esercizio  d el dirio di cui sopra e in conformità alle suddee </t>
  </si>
  <si>
    <t xml:space="preserve">disposizioni, fermo quanto eventualmente infra previsto in relazione a ulteriori limi alla circolazione, il </t>
  </si>
  <si>
    <t xml:space="preserve">cedente potrà trasferire la partecipazione oggeo di trasferimento (ovvero la parte della partecipazione di </t>
  </si>
  <si>
    <t xml:space="preserve">cui è ancora tolare in caso di esercizio parziale della prelazione) al potenziale acquirente, agli stessi termini </t>
  </si>
  <si>
    <t xml:space="preserve">e  c ondizioni indica nell’oﬀerta in prelazione, entro e non oltre 60 (sessanta) giorni dalla scadenza del </t>
  </si>
  <si>
    <t xml:space="preserve">termine di esercizio del dirio (termine che, se richiesto, dovrà essere prorogato per il tempo necessario </t>
  </si>
  <si>
    <t xml:space="preserve">aﬃnché siano oenute le autorizzazioni tassavamente previste dalla legge per il trasferimento della </t>
  </si>
  <si>
    <t xml:space="preserve">partecipazione oggeo di esercizio, purché il perfezionamento  del trasferimento avvenga entro 30 giorni </t>
  </si>
  <si>
    <t xml:space="preserve">dalla scadenza del termine di esercizio). </t>
  </si>
  <si>
    <t>---------------------------------------- CHUNK 88 ----------------------------------------</t>
  </si>
  <si>
    <t>dalla scadenza del termine di esercizio).</t>
  </si>
  <si>
    <t xml:space="preserve">Copia dell’ao di trasferimento, con indicazione del prezzo della vendita, dovrà essere inviato, nei successivi </t>
  </si>
  <si>
    <t xml:space="preserve">30 (trenta) giorni all’organo amministravo, il quale ne darà comunicazione ai soci aestando la conformità </t>
  </si>
  <si>
    <t xml:space="preserve">alle condizioni indicate dal socio trasferente nella comunicazione inviata per l’esercizio del dirio. In ogni caso, </t>
  </si>
  <si>
    <t xml:space="preserve">ove tale trasferimento non si veriﬁchi entro il suddeo termine di 60 (sessanta) giorni dal termine di esercizio </t>
  </si>
  <si>
    <t xml:space="preserve">del dirio di prelazione da parte degli altri soci, il cedente non potrà trasferire la partecipazione oggeo di </t>
  </si>
  <si>
    <t>trasferimento, se non conformandosi nuovamente alle disposizioni di cui al presente arcolo.</t>
  </si>
  <si>
    <t>Il pao di prelazione previsto dal presente arcolo:</t>
  </si>
  <si>
    <t xml:space="preserve">a) si applica inoltre agli a, di qualunque natura, anche gratui e/o liberali, aven ad oggeo il trasferimento </t>
  </si>
  <si>
    <t xml:space="preserve">di parte della partecipazione e/o la costuzione di diri reali parziari di godimento, valendo, per ques, le </t>
  </si>
  <si>
    <t>modalità di determinazione del valore di cui sopra;</t>
  </si>
  <si>
    <t xml:space="preserve">b) non si applica agli a di intestazione delle partecipazioni a società ﬁduciaria o ad altra società ﬁduciaria </t>
  </si>
  <si>
    <t xml:space="preserve">purché il ﬁduciante sia sempre il medesimo, e in caso di risoluzione di manda ﬁduciari con conseguente </t>
  </si>
  <si>
    <t>reintestazione della partecipazione al ﬁduciante,</t>
  </si>
  <si>
    <t xml:space="preserve">c) non si applica agli a di cessione nei confron di società, controllate o collegate al socio che pone in essere </t>
  </si>
  <si>
    <t xml:space="preserve">l’operazione, </t>
  </si>
  <si>
    <t>---------------------------------------- CHUNK 89 ----------------------------------------</t>
  </si>
  <si>
    <t>l’operazione,</t>
  </si>
  <si>
    <t xml:space="preserve">d) non si applica alle cessioni a qualunque tolo eﬀeuate nei confron di coniugi e ﬁgli. </t>
  </si>
  <si>
    <t>---------------------------------------- CHUNK 90 ----------------------------------------</t>
  </si>
  <si>
    <t>8. DECISIONI DEI SOCI</t>
  </si>
  <si>
    <t>8.1 Modalità</t>
  </si>
  <si>
    <t xml:space="preserve">I soci decidono sulle materie loro riservate dalla legge e da questo statuto nonché sugli argomen che uno o </t>
  </si>
  <si>
    <t xml:space="preserve">più amministratori o tan soci che rappresenno almeno un terzo del capitale sociale soopongono alla loro </t>
  </si>
  <si>
    <t>approvazione.</t>
  </si>
  <si>
    <t xml:space="preserve">Le decisioni dei soci possono essere adoate mediante deliberazione assembleare ai sensi dell'art. 2479-bis </t>
  </si>
  <si>
    <t>c.c. ovvero mediante consultazione scria o sulla base del consenso espresso per iscrio.</t>
  </si>
  <si>
    <t xml:space="preserve">Le decisioni dei soci devono essere adoate in forma assembleare nelle materie di cui all'art. 2479, comma </t>
  </si>
  <si>
    <t xml:space="preserve">2, nn. 4) e 5) c.c. e nelle altre materie eventualmente previste dal presente ao ovvero quando lo richiedano </t>
  </si>
  <si>
    <t>uno o più amministratori o tan soci che rappresenno almeno un terzo del capitale sociale.</t>
  </si>
  <si>
    <t>8.2 Consultazione scria o consenso espresso per iscrio</t>
  </si>
  <si>
    <t xml:space="preserve">Nel caso in cui la decisione dei soci possa essere adoata mediante consultazione scria tra i soci o sulla base </t>
  </si>
  <si>
    <t xml:space="preserve">del consenso espresso per iscrio, dai documen sooscri, anche separatamente, da ciascun socio, devono </t>
  </si>
  <si>
    <t>risultare con chiarezza l'argomento oggeo della decisione ed il consenso alla stessa.</t>
  </si>
  <si>
    <t xml:space="preserve">Le decisioni dei soci fuori dal metodo assembleare sono assunte con il voto f avorevole di tan soci che </t>
  </si>
  <si>
    <t xml:space="preserve">rappresenno la maggioranza del capitale sociale, salvo che il presente statuto non richieda per determinate </t>
  </si>
  <si>
    <t>materie maggioranze diverse.</t>
  </si>
  <si>
    <t>8.3 Assemblea dei soci</t>
  </si>
  <si>
    <t>8.3.1 Convocazione</t>
  </si>
  <si>
    <t xml:space="preserve">L'assemblea è convocata mediante avviso inviato al domicilio di ciascun socio almeno 8 (oo) giorni prima di </t>
  </si>
  <si>
    <t xml:space="preserve">quello ﬁssato per l'adunanza o, se inviato successivamente, ricevuto almeno 5 (cinque) giorni prima. </t>
  </si>
  <si>
    <t>---------------------------------------- CHUNK 91 ----------------------------------------</t>
  </si>
  <si>
    <t>quello ﬁssato per l'adunanza o, se inviato successivamente, ricevuto almeno 5 (cinque) giorni prima.</t>
  </si>
  <si>
    <t xml:space="preserve">L'avviso di convocazione può essere inviato con qualsiasi mezzo che assicuri la prova dell'avvenuto </t>
  </si>
  <si>
    <t>8.3.2 Luogo di riunione</t>
  </si>
  <si>
    <t xml:space="preserve">L'assemblea si riunisce presso la sede sociale ovvero in altro Comune del territorio italiano, Svizzera o </t>
  </si>
  <si>
    <t>dell'Unione Europea, secondo quanto stabilito nell'avviso di convocazione.</t>
  </si>
  <si>
    <t>8.3.3 Video e audioconferenza</t>
  </si>
  <si>
    <t xml:space="preserve">L'assemblea può svolgersi con interven disloca in più luoghi, congui o distan, audio/video collega a </t>
  </si>
  <si>
    <t xml:space="preserve">condizione che siano rispea il metodo collegiale e i principi di buona fede e di parità di traamento dei </t>
  </si>
  <si>
    <t>soci, ed in parcolare a condizione che:</t>
  </si>
  <si>
    <t xml:space="preserve">a) sia consento al presidente dell'assemblea, anche a mezzo del proprio uﬃcio di presidenza, di accertare </t>
  </si>
  <si>
    <t xml:space="preserve">l'identà e la legimazione degli intervenu, regolare lo svolgimento della adunanza, constatare e </t>
  </si>
  <si>
    <t>proclamare i risulta della votazione;</t>
  </si>
  <si>
    <t xml:space="preserve">b) sia consento al soggeo verbalizzante di percepire adeguatamente gli even assembleari oggeo di </t>
  </si>
  <si>
    <t xml:space="preserve">c) sia consento agli intervenu di partecipare alla discussione ed alla votazione simultanea sugli argomen </t>
  </si>
  <si>
    <t>all'ordine del giorno.</t>
  </si>
  <si>
    <t>8.3.4 Quorum costuvi e deliberavi</t>
  </si>
  <si>
    <t xml:space="preserve">L'assemblea è validamente costuita con la presenza di tan soci rappresentan, nel complesso, più della </t>
  </si>
  <si>
    <t>---------------------------------------- CHUNK 92 ----------------------------------------</t>
  </si>
  <si>
    <t>metà del capitale sociale e delibera validamente con lo stesso quorum.</t>
  </si>
  <si>
    <t xml:space="preserve">Nei casi previs dai numeri 4) e 5) del secondo comma dell'art. 2479 cod. civ., delibera con il voto favorevole </t>
  </si>
  <si>
    <t>dei soci che rappresentano almeno l’65% del capitale sociale.</t>
  </si>
  <si>
    <t>Sono valide le assemblee totalitarie ai sensi di legge.</t>
  </si>
  <si>
    <t>8.3.5 Presidenza</t>
  </si>
  <si>
    <t>La presidenza dell'assemblea secondo i sistemi di amministrazione compete:</t>
  </si>
  <si>
    <t>- all'amministratore unico;</t>
  </si>
  <si>
    <t xml:space="preserve">- al presidente del consiglio di amministrazione e, in caso di assenza od impedimento del presidente, </t>
  </si>
  <si>
    <t>nell'ordine, al Vicepresidente e all'amministratore delegato, se nomina.</t>
  </si>
  <si>
    <t xml:space="preserve">Nei casi di legge ed inoltre quando il presidente dell'assemblea lo ritenga opportuno il verbale viene redao </t>
  </si>
  <si>
    <t>da un notaio.</t>
  </si>
  <si>
    <t>8.3.6 Sistemi di votazione</t>
  </si>
  <si>
    <t xml:space="preserve">Le deliberazioni sono prese per alzata di mano a meno che la maggioranza o il segretario richiedano l'appello </t>
  </si>
  <si>
    <t>nominale.</t>
  </si>
  <si>
    <t xml:space="preserve">È escluso, in ogni caso, il voto a scrunio segreto. </t>
  </si>
  <si>
    <t>---------------------------------------- CHUNK 93 ----------------------------------------</t>
  </si>
  <si>
    <t>9. AMMINISTRAZIONE</t>
  </si>
  <si>
    <t>9.1 Modalità di amministrazione</t>
  </si>
  <si>
    <t>La società può essere amministrata:</t>
  </si>
  <si>
    <t>- da un amministratore unico;</t>
  </si>
  <si>
    <t>- da un consiglio di amministrazione composto da un minimo di 2 (due) ad un massimo di 7 (see) membri;</t>
  </si>
  <si>
    <t xml:space="preserve">- da due o più amministratori, non costuen tra loro consiglio, i quali potranno operare disgiuntamente o </t>
  </si>
  <si>
    <t xml:space="preserve">congiuntamente per il compimento degli a di amministrazione ovvero seguendo l'una modalità per alcuni </t>
  </si>
  <si>
    <t xml:space="preserve">e l'altra per altri, secondo quanto stabilito dai soci all'ao della nomina, salvo quanto per legge riservato alla </t>
  </si>
  <si>
    <t>competenza collegiale dell'organo amministravo.</t>
  </si>
  <si>
    <t xml:space="preserve">La decisione dei soci individua il sistema di amministrazione e ﬁssa il numero degli amministratori; nel caso </t>
  </si>
  <si>
    <t xml:space="preserve">di nomina di due o più amministratori non costuen tra loro consiglio, determina le modalità di esercizio dei </t>
  </si>
  <si>
    <t>poteri.</t>
  </si>
  <si>
    <t xml:space="preserve">Nei casi di nomina di più amministratori con poteri da esercitarsi disgiuntamente o congiuntamente (salvo </t>
  </si>
  <si>
    <t xml:space="preserve">quanto per legge o in forza dell'ao di nomina riservato ad una decisione collegiale dell'organo </t>
  </si>
  <si>
    <t xml:space="preserve">amministravo) si applicano le disposizioni di cui agli ar. 2257 e 2258 c.c. La decisione di cui al terzo comma </t>
  </si>
  <si>
    <t xml:space="preserve">dell'art. 2257 c.c. e al secondo comma dell'art. 2258 c.c.  è  adoata dai soci con il voto favorevole della </t>
  </si>
  <si>
    <t>maggioranza del capitale.</t>
  </si>
  <si>
    <t>I componen dell'organo amministravo:</t>
  </si>
  <si>
    <t xml:space="preserve">a) vengono in ogni caso nomina nel rispeo delle prescrizioni di cui al combinato disposto degli ar. 2475 e </t>
  </si>
  <si>
    <t>2383, quarto e quinto comma c.c.;</t>
  </si>
  <si>
    <t xml:space="preserve">b) durano in carica a tempo indeterminato, ﬁno a revoca o rinunzia, ovvero per il periodo di volta in volta </t>
  </si>
  <si>
    <t>determinato dalla decisione dei soci;</t>
  </si>
  <si>
    <t>---------------------------------------- CHUNK 94 ----------------------------------------</t>
  </si>
  <si>
    <t>c) possono essere anche non soci;</t>
  </si>
  <si>
    <t>d) possono essere coopta nei casi e con le modalità di legge.</t>
  </si>
  <si>
    <t xml:space="preserve">Tuavia, in caso di amministrazione aﬃdata ad organo collegiale, il venir meno, per qualunque causa, della </t>
  </si>
  <si>
    <t>maggioranza dei consiglieri comporta decadenza dell'intero consiglio.</t>
  </si>
  <si>
    <t>9.2 Poteri di gesone</t>
  </si>
  <si>
    <t xml:space="preserve">All'organo amministravo speano, in ogni caso, tu i poteri di gesone, ordinaria e straordinaria, della </t>
  </si>
  <si>
    <t xml:space="preserve">società, senza limitazione alcuna, faa eccezione per l'ipotesi dei due amministratori non costuen </t>
  </si>
  <si>
    <t xml:space="preserve">consiglio, per i quali valgono le aribuzioni di gesone di volta in volta ﬁssate dall'assemblea all'ao della </t>
  </si>
  <si>
    <t>nomina.</t>
  </si>
  <si>
    <t xml:space="preserve">Gli amministratori, qualora lo ritengano opportuno, possono sooporre ai soci il compimento di un ao di </t>
  </si>
  <si>
    <t>gesone, per acquisirne il parere, che, comunque, non è da ritenersi vincolante.</t>
  </si>
  <si>
    <t>9.3 Rappresentanza della società</t>
  </si>
  <si>
    <t>La rappresentanza della società compete in via generale e senza limitazioni:</t>
  </si>
  <si>
    <t>- all'Amministratore unico;</t>
  </si>
  <si>
    <t xml:space="preserve">- al Presidente del consiglio di amministrazione ed al Vice Presidente, se nominato, con le caraerische, le </t>
  </si>
  <si>
    <t>limitazioni e le modalità stabilite dall'assemblea all'ao della nomina:</t>
  </si>
  <si>
    <t xml:space="preserve">- a ciascuno dei due o più amministratori non costuen consiglio, in forma disgiunva o congiunva, secondo </t>
  </si>
  <si>
    <t>---------------------------------------- CHUNK 95 ----------------------------------------</t>
  </si>
  <si>
    <t>quanto disposto dalla decisione di nomina. La rappresentanza della società compete inoltre:</t>
  </si>
  <si>
    <t>- agli amministratori delega, nei limi della delega loro conferita dal consiglio;</t>
  </si>
  <si>
    <t xml:space="preserve">- ai Direori generali e agli altri uﬃci della società che hanno rilevanza esterna, nei limi dei poteri conferi </t>
  </si>
  <si>
    <t>dall'organo amministravo;</t>
  </si>
  <si>
    <t xml:space="preserve">- ai procuratori speciali, che possono essere nomina per singoli a o per categorie di a, da tu i sogge </t>
  </si>
  <si>
    <t>indica nel presente arcolo, ciascuno nell'ambito dei propri poteri.</t>
  </si>
  <si>
    <t>9.4 Norme di funzionamento del consiglio di amministrazione</t>
  </si>
  <si>
    <t>Quando la società è amministrata dal Consiglio il funzionamento di esso è così regolato:</t>
  </si>
  <si>
    <t>9.4.1 Poteri del consiglio e rappresentanza della società</t>
  </si>
  <si>
    <t xml:space="preserve">Il Presidente del consiglio di amministrazione ed il Vicepresidente, se nominato, hanno la rappresentanza </t>
  </si>
  <si>
    <t>generale della società, ferma la speanza all'organo collegiale di tu i poteri di gesone.</t>
  </si>
  <si>
    <t xml:space="preserve">Il consiglio di amministrazione potrà deliberare l'aribuzione di deleghe ad un comitato esecuvo, composto </t>
  </si>
  <si>
    <t xml:space="preserve">da alcuni suoi membri, ovvero ad uno o più consiglieri, prevedendo, di volta in volta, le modalità esplicave </t>
  </si>
  <si>
    <t xml:space="preserve">dei poteri gestori e di rappresentanza spean agli amministratori delega. In ogni caso agli amministratori </t>
  </si>
  <si>
    <t xml:space="preserve">delega non potrà essere aribuito alcuno dei poteri e delle avità non delegabili per legge. </t>
  </si>
  <si>
    <t>---------------------------------------- CHUNK 96 ----------------------------------------</t>
  </si>
  <si>
    <t>delega non potrà essere aribuito alcuno dei poteri e delle avità non delegabili per legge.</t>
  </si>
  <si>
    <t xml:space="preserve">Il Presidente o l'Amministratore delegato - quest'ulmo nell'ambito dei poteri delega - daranno esecuzione </t>
  </si>
  <si>
    <t xml:space="preserve">all'esterno alla decisione consiliare, rappresentando la società verso i terzi, anche senza bisogno di apposita </t>
  </si>
  <si>
    <t>investura in sede di deliberazione.</t>
  </si>
  <si>
    <t>Le cariche di Presidente (o di Vicepresidente) e di amministratore delegato sono cumulabili.</t>
  </si>
  <si>
    <t>9.4.2 Decisioni</t>
  </si>
  <si>
    <t xml:space="preserve">Qualora nessun amministratore si opponga, le decisioni del consiglio di amministrazione possono essere </t>
  </si>
  <si>
    <t xml:space="preserve">assunte fuori dal metodo collegiale, mediante consultazione o consenso scrio, con decisione che dovrà </t>
  </si>
  <si>
    <t xml:space="preserve">risultare, anche da a separa, nella forma scria e comunque in modo tale che dai documen sooscri </t>
  </si>
  <si>
    <t>dagli amministratori risulno con chiarezza l'argomento oggeo della decisione ed il consenso alla stessa.</t>
  </si>
  <si>
    <t xml:space="preserve">Ove anche uno solo dei membri del consiglio non sia d'accordo sulla deroga al metodo collegiale ed in ogni </t>
  </si>
  <si>
    <t xml:space="preserve">altro caso in cui, per legge o per volontà, i consiglieri adono il metodo collegiale per l'assunzione della </t>
  </si>
  <si>
    <t>decisione gestoria, il consiglio dovrà funzionare secondo le disposizioni che seguono.</t>
  </si>
  <si>
    <t>9.4.3 Convocazione e riunione</t>
  </si>
  <si>
    <t xml:space="preserve">Il Consiglio si riunisce nel luogo indicato nell'avviso di convocazione (nella sede sociale o altrove) tue le volte </t>
  </si>
  <si>
    <t xml:space="preserve">che il Presidente o chi ne fa le veci lo giudichi necessario, o quando ne sia faa richiesta dalla maggioranza </t>
  </si>
  <si>
    <t>---------------------------------------- CHUNK 97 ----------------------------------------</t>
  </si>
  <si>
    <t xml:space="preserve">degli Amministratori in carica, oppure dall'organo di controllo, secondo le sue regole di funzionamento e salva </t>
  </si>
  <si>
    <t>in ogni caso ogni diversa disposizione di legge.</t>
  </si>
  <si>
    <t xml:space="preserve">Di regola la convocazione è faa almeno cinque giorni liberi prima della riunione. Nei casi di urgenza il termine </t>
  </si>
  <si>
    <t>può essere più breve ma non inferiore a due giorni lavoravi.</t>
  </si>
  <si>
    <t xml:space="preserve">Il Consiglio è validamente riunito, anche in mancanza di regolare avviso di convocazione, qualora siano </t>
  </si>
  <si>
    <t>presen tu gli aven dirio.</t>
  </si>
  <si>
    <t xml:space="preserve">Le riunioni di consiglio sono presiedute dal Presidente e, in caso di sua assenza o impedimento, dal Vice </t>
  </si>
  <si>
    <t xml:space="preserve">Presidente, qualora sia stato nominato o, in mancanza, anche di quest'ulmo, dal Consigliere designato dal </t>
  </si>
  <si>
    <t>Consiglio stesso.</t>
  </si>
  <si>
    <t xml:space="preserve">Il consiglio può radunarsi per video e/o audio conferenza, a condizione che tu i partecipan possano essere </t>
  </si>
  <si>
    <t xml:space="preserve">idenﬁca, sia loro consento di seguire la discussione, di intervenire in tempo reale alla traazione degli </t>
  </si>
  <si>
    <t xml:space="preserve">argomen aﬀronta, di esaminare, ricevere e trasmeere documen. L'adunanza si considera tenuta nel </t>
  </si>
  <si>
    <t>luogo in cui si trovano il Presidente e il Segretario.</t>
  </si>
  <si>
    <t>9.4.4 Deliberazioni</t>
  </si>
  <si>
    <t xml:space="preserve">Per la validità delle deliberazioni del consiglio è necessaria la presenza della maggioranza degli amministratori </t>
  </si>
  <si>
    <t>in carica.</t>
  </si>
  <si>
    <t>Le deliberazioni si prendono a maggioranza assoluta degli intervenu.</t>
  </si>
  <si>
    <t xml:space="preserve">9.4.5 Verbalizzazioni </t>
  </si>
  <si>
    <t>---------------------------------------- CHUNK 98 ----------------------------------------</t>
  </si>
  <si>
    <t>9.4.5 Verbalizzazioni</t>
  </si>
  <si>
    <t xml:space="preserve">Le deliberazioni del consiglio di amministrazione devono risultare da verbali che, trascri su apposito libro </t>
  </si>
  <si>
    <t xml:space="preserve">tenuto a norma di legge, vengono ﬁrma da chi presiede e dal segretario nominato di volta in volta anche tra </t>
  </si>
  <si>
    <t xml:space="preserve">estranei al consiglio. </t>
  </si>
  <si>
    <t>---------------------------------------- CHUNK 99 ----------------------------------------</t>
  </si>
  <si>
    <t>10. COMPENSO DEGLI AMMINISTRATORI</t>
  </si>
  <si>
    <t>Agli Amministratori spea il rimborso delle spese sostenute per ragioni del loro uﬃcio.</t>
  </si>
  <si>
    <t xml:space="preserve">I soci possono inoltre assegnare agli amministratori un compenso da determinarsi con decisione valida ﬁno a </t>
  </si>
  <si>
    <t xml:space="preserve">modiﬁca, nonché determinare un'indennità per la cessazione dalla carica e deliberare l'accantonamento per </t>
  </si>
  <si>
    <t xml:space="preserve">il relavo fondo di quiescenza. Si applica altresì l'arcolo 2389, terzo comma, del Codice civile. </t>
  </si>
  <si>
    <t>---------------------------------------- CHUNK 100 ----------------------------------------</t>
  </si>
  <si>
    <t>11. CONTROLLO DI GESTIONE - REVISIONE LEGALE DEI CONTI</t>
  </si>
  <si>
    <t xml:space="preserve">Nei casi previs dalla legge, il controllo di gesone e la revisione legale dei con sono aﬃdate ad un organo </t>
  </si>
  <si>
    <t xml:space="preserve">di controllo a struura monocraca, denominato "organo di controllo" o "revisore", persona ﬁsica o giuridica, </t>
  </si>
  <si>
    <t>entrambi muni dei requisi di legge.</t>
  </si>
  <si>
    <t>Con decisione dei soci le stesse funzioni:</t>
  </si>
  <si>
    <t xml:space="preserve">a) potranno essere aﬃdate ad un organo a struura collegiale, composto da cinque membri, di cui tre eﬀevi </t>
  </si>
  <si>
    <t xml:space="preserve">e due supplen, aven i requisi di legge; in questo caso il funzionamento dell'organo sarà disciplinato dalle </t>
  </si>
  <si>
    <t>norme deate da questo statuto per il consiglio di amministrazione, nei limi della compabilità;</t>
  </si>
  <si>
    <t xml:space="preserve">b) potranno essere aﬃdate a sogge disn, tu aven i requisi di legge. </t>
  </si>
  <si>
    <t>---------------------------------------- CHUNK 101 ----------------------------------------</t>
  </si>
  <si>
    <t>12. ESERCIZIO SOCIALE - BILANCI</t>
  </si>
  <si>
    <t>L'esercizio sociale si chiude al 31 dicembre di ogni anno.</t>
  </si>
  <si>
    <t xml:space="preserve">Il bilancio di esercizio deve essere presentato ai soci per l'approvazione entro centoven giorni dalla chiusura </t>
  </si>
  <si>
    <t xml:space="preserve">dell'esercizio, ovvero entro centoanta giorni, qualora ricorrano le condizioni previste dall'ulmo comma </t>
  </si>
  <si>
    <t xml:space="preserve">dell'art. 2364 c.c. </t>
  </si>
  <si>
    <t>---------------------------------------- CHUNK 102 ----------------------------------------</t>
  </si>
  <si>
    <t>13. UTILI</t>
  </si>
  <si>
    <t xml:space="preserve">L'ule neo di bilancio distribuibile è soltanto quello realmente conseguito e risultante dal bilancio </t>
  </si>
  <si>
    <t xml:space="preserve">regolarmente approvato. L'assemblea che approva il bilancio decide sulla distribuzione degli uli ai soci con </t>
  </si>
  <si>
    <t xml:space="preserve">maggioranza semplice del capitale sociale. </t>
  </si>
  <si>
    <t>---------------------------------------- CHUNK 103 ----------------------------------------</t>
  </si>
  <si>
    <t>14. SCIOGLIMENTO E LIQUIDAZIONE</t>
  </si>
  <si>
    <t xml:space="preserve">In caso di scioglimento della società, l'assemblea determinerà le modalità della liquidazione e nominerà, a </t>
  </si>
  <si>
    <t xml:space="preserve">norma di legge, uno o più liquidatori ﬁssandone poteri e compensi, agendo comunque ai sensi dell'art. 2487 </t>
  </si>
  <si>
    <t xml:space="preserve">c.c. </t>
  </si>
  <si>
    <t>---------------------------------------- CHUNK 104 ----------------------------------------</t>
  </si>
  <si>
    <t>15. RECESSO ED ESCLUSIONE</t>
  </si>
  <si>
    <t>15.1 Recesso</t>
  </si>
  <si>
    <t xml:space="preserve">I soci hanno dirio di recedere dalla società nei soli casi previs dalla legge e dal presente statuto, in ogni </t>
  </si>
  <si>
    <t>caso nei tempi, con le modalità e con i diri di legge.</t>
  </si>
  <si>
    <t>15.2 Esclusione</t>
  </si>
  <si>
    <t>Non sono previste cause di esclusione.</t>
  </si>
  <si>
    <t>F.to Mario Allegre</t>
  </si>
  <si>
    <t>F.to Pierluigi Sarzi Amadè</t>
  </si>
  <si>
    <t>F.to Alessandro Mari Notaio</t>
  </si>
  <si>
    <t xml:space="preserve">COPIA SU SUPPORTO INFORMATICO CONFORME ALL'ORIGINALE DOCUMENTO SU SUPPORTO CARTACEO, AI </t>
  </si>
  <si>
    <t>SENSI DELL'ART. 20 COMMA 3 D.P.R. 445/2000, CHE SI TRASMETTE AD USO REGISTRO IMPRESE.</t>
  </si>
  <si>
    <t xml:space="preserve">IMPOSTA DI BOLLO ASSOLTO AI SENSI DEL DECRETO 22/02/2007  MEDIANTE M.U.I. </t>
  </si>
  <si>
    <t>---------------------------------------- CHUNK 105 ----------------------------------------</t>
  </si>
  <si>
    <t xml:space="preserve">Azienda:  secur system group di romeo s.r.l. </t>
  </si>
  <si>
    <t>- Allegato "B" al numero 25176 di raccolta.</t>
  </si>
  <si>
    <t xml:space="preserve">STATUTO della società </t>
  </si>
  <si>
    <t>SECUR SYSTEM GROUP DI ROMEO società a responsabilità limita- _x000D_
ta,</t>
  </si>
  <si>
    <t xml:space="preserve">DENOMINAZIONE - SEDE - ATTIVITA' - DURATA </t>
  </si>
  <si>
    <t>---------------------------------------- CHUNK 106 ----------------------------------------</t>
  </si>
  <si>
    <t>ARTICOLO 1</t>
  </si>
  <si>
    <t xml:space="preserve">1.1 E' costituita una società a responsabilità limitata con </t>
  </si>
  <si>
    <t xml:space="preserve">la denominazione "SECUR SYSTEM GROUP DI ROMEO società a re- </t>
  </si>
  <si>
    <t xml:space="preserve">sponsabilità limitata", in forma abbreviata "SECUR SYSTEM </t>
  </si>
  <si>
    <t xml:space="preserve">GROUP DI ROMEO s.r.l." . </t>
  </si>
  <si>
    <t>---------------------------------------- CHUNK 107 ----------------------------------------</t>
  </si>
  <si>
    <t>ARTICOLO 2</t>
  </si>
  <si>
    <t xml:space="preserve">2.1 La società ha sede nel Comune di Fisciano (provincia di </t>
  </si>
  <si>
    <t xml:space="preserve">Salerno) all'indirizzo risultante dalla apposita iscrizione </t>
  </si>
  <si>
    <t xml:space="preserve">eseguita presso il Registro della Imprese competente ai sensi </t>
  </si>
  <si>
    <t xml:space="preserve">dell'art.111 ter delle disposizioni per l'attuazione del co- </t>
  </si>
  <si>
    <t>dice civile.</t>
  </si>
  <si>
    <t xml:space="preserve">Spetta all'Assemblea dei soci deliberare l'istituzione e la </t>
  </si>
  <si>
    <t>soppressione di sedi secondarie.</t>
  </si>
  <si>
    <t xml:space="preserve">L’Organo Amministrativo ha la facoltà di istituire e di sop- </t>
  </si>
  <si>
    <t xml:space="preserve">primere ovunque unità locali operative (ad esempio succursa- </t>
  </si>
  <si>
    <t xml:space="preserve">li, filiali o uffici amministrativi senza stabile rappresen- </t>
  </si>
  <si>
    <t xml:space="preserve">tanza) ovvero di trasferire la sede sociale principale e le </t>
  </si>
  <si>
    <t xml:space="preserve">sedi secondarie nell’ambito del Comune prestabilito; spetta, </t>
  </si>
  <si>
    <t xml:space="preserve">invece, ai soci il trasferimento della sede principale o del- </t>
  </si>
  <si>
    <t xml:space="preserve">le sedi secondarie in un Comune diverso da quello prestabili- </t>
  </si>
  <si>
    <t xml:space="preserve">to. </t>
  </si>
  <si>
    <t>---------------------------------------- CHUNK 108 ----------------------------------------</t>
  </si>
  <si>
    <t>ARTICOLO 3</t>
  </si>
  <si>
    <t xml:space="preserve">3.1 La società, nei limiti delle vigenti leggi e con le rela- </t>
  </si>
  <si>
    <t>tive autorizzazioni ove previste, ha per oggetto:</t>
  </si>
  <si>
    <t xml:space="preserve">e apparecchiature radiotelevisivi, radiotelevisivi satellita- </t>
  </si>
  <si>
    <t xml:space="preserve">ri e digitali via cavo, e per le telecomunicazioni, impianti </t>
  </si>
  <si>
    <t xml:space="preserve">riscaldamento e climatizzazione e condizionamento, impianti a </t>
  </si>
  <si>
    <t xml:space="preserve">gas, impianti idrosanitari, impianti antincendio di rivela- </t>
  </si>
  <si>
    <t xml:space="preserve">zione fumi o calore e rilevazione fughe gas e protezione an- </t>
  </si>
  <si>
    <t xml:space="preserve">tincendio, impianti di evacuazione EVAC, impianti di diffu- </t>
  </si>
  <si>
    <t xml:space="preserve">sione sonora, impianti di rilevazione e spegnimento automati- </t>
  </si>
  <si>
    <t xml:space="preserve">co, sia manuali che fissi, porte e strutture di compartimen- </t>
  </si>
  <si>
    <t xml:space="preserve">tazione tagliafuoco, attrezzature antincendio, manichette e </t>
  </si>
  <si>
    <t xml:space="preserve">accessori, nonché la realizzazione di impianti di spegnimento </t>
  </si>
  <si>
    <t xml:space="preserve">automatico a gas inerti, CO2, Water Mist, Aerosol, Gruppi di </t>
  </si>
  <si>
    <t xml:space="preserve">Pompaggio Antincendio, Rete Idranti, Sprinkler e di qualsiasi </t>
  </si>
  <si>
    <t xml:space="preserve">tipo o genere, impianti di cablaggio strutturato in rame e in </t>
  </si>
  <si>
    <t xml:space="preserve">fibra ottica, impianti e strutture ad efficientamento energe- </t>
  </si>
  <si>
    <t xml:space="preserve">tico ed impianti di illuminazione e segnalazione di sicurezza </t>
  </si>
  <si>
    <t>ed illuminazione di Emergenza;</t>
  </si>
  <si>
    <t xml:space="preserve">- manutenzione estintori e bombole, revisione, collaudo e ri- </t>
  </si>
  <si>
    <t xml:space="preserve">cariche di tipo portatili, carrellati e fissi e manutenzione </t>
  </si>
  <si>
    <t xml:space="preserve">e fornitura di dispositivi di protezione individuale (DPI), </t>
  </si>
  <si>
    <t xml:space="preserve">autorespiratori, di Primo soccorso e di qualsiasi tipo o ge- </t>
  </si>
  <si>
    <t xml:space="preserve">nere; </t>
  </si>
  <si>
    <t xml:space="preserve">- costruzione, fornitura, installazione e manutenzione di </t>
  </si>
  <si>
    <t xml:space="preserve">porte e infissi tagliafuoco, strutture di compartimentazione </t>
  </si>
  <si>
    <t xml:space="preserve">tagliafuoco, filtri di sovrappressione a prova di fumo, eva- </t>
  </si>
  <si>
    <t>cuatori di fumo e calore e di qualsiasi tipo o genere;</t>
  </si>
  <si>
    <t>---------------------------------------- CHUNK 109 ----------------------------------------</t>
  </si>
  <si>
    <t xml:space="preserve">in media e alta tensione, gruppi elettrogeni, gruppi di con- </t>
  </si>
  <si>
    <t xml:space="preserve">tinuità UPS, impianti di illuminazione pubblica e stradale, </t>
  </si>
  <si>
    <t xml:space="preserve">semaforici; impianti di insegne luminose, energia alternati- </t>
  </si>
  <si>
    <t xml:space="preserve">va, fotovoltaica, eolica, solare, termica e di qualsiasi tipo </t>
  </si>
  <si>
    <t>o genere;</t>
  </si>
  <si>
    <t xml:space="preserve">- installazione e manutenzione di: impianti  e sistemi di si- </t>
  </si>
  <si>
    <t xml:space="preserve">curezza per banche, bussole e porte a consenso antirapina, </t>
  </si>
  <si>
    <t xml:space="preserve">porte automatiche, cancelli automatici, barriere stradali au- </t>
  </si>
  <si>
    <t xml:space="preserve">tomatiche, sistemi porte di uscite di emergenza; telefonia </t>
  </si>
  <si>
    <t xml:space="preserve">mobile veicolare, radiofrequenza, apparecchiature periferiche </t>
  </si>
  <si>
    <t xml:space="preserve">e ponti radio, controllo accessi e metal detector, centrali </t>
  </si>
  <si>
    <t xml:space="preserve">operative a centralizzazione ed integrazione di allarmi di </t>
  </si>
  <si>
    <t xml:space="preserve">videosorveglianza e tecnologici, telecamere, videoregistra- </t>
  </si>
  <si>
    <t xml:space="preserve">zione e videocitofoni; sistemi di allarme antintrusione in- </t>
  </si>
  <si>
    <t xml:space="preserve">terni e perimetrali esterni sia via radio senza fili e sia </t>
  </si>
  <si>
    <t xml:space="preserve">con teleassistenza computerizzata, allarmi satellitari; in- </t>
  </si>
  <si>
    <t xml:space="preserve">fissi, serramenti, porte e infissi blindati, camere di sicu- </t>
  </si>
  <si>
    <t xml:space="preserve">rezza, armadi e strutture blindate, casseforti a chiave e a </t>
  </si>
  <si>
    <t>combinazione numerica ed elettronica;</t>
  </si>
  <si>
    <t xml:space="preserve">- installazione e manutenzione di: reti di dati con elabora- </t>
  </si>
  <si>
    <t xml:space="preserve">tori e software, reti dati certificate in rame o in fibre ot- </t>
  </si>
  <si>
    <t xml:space="preserve">tiche, reti telefoniche e di telecomunicazione, apparecchia- </t>
  </si>
  <si>
    <t>---------------------------------------- CHUNK 110 ----------------------------------------</t>
  </si>
  <si>
    <t xml:space="preserve">ture elettroniche, elaboratori domestici e informatici, in </t>
  </si>
  <si>
    <t>ambito civile o industriale;</t>
  </si>
  <si>
    <t xml:space="preserve">- impianti radiotelevisivi, antenne e impianti elettronici e </t>
  </si>
  <si>
    <t>di qualsiasi tipo o genere;</t>
  </si>
  <si>
    <t xml:space="preserve">- impianti di riscaldamento, di climatizzazione, di condizio- </t>
  </si>
  <si>
    <t xml:space="preserve">namento e di refrigerazione di qualsiasi natura o specie com- </t>
  </si>
  <si>
    <t xml:space="preserve">prese le opere di evacuazione dei prodotti della combustione </t>
  </si>
  <si>
    <t>e delle condense, e di ventilazione e aerazione dei locali;</t>
  </si>
  <si>
    <t>- impianti idrici e sanitari di qualsiasi natura o specie;</t>
  </si>
  <si>
    <t xml:space="preserve">- impianti per la distribuzione e l'utilizzazione di gas di </t>
  </si>
  <si>
    <t xml:space="preserve">qualsiasi tipo, comprese le opere di evacuazione dei prodotti </t>
  </si>
  <si>
    <t>della combustione e ventilazione ed aerazione dei locali;</t>
  </si>
  <si>
    <t>ascensori, di montacarichi, di scale mobili e simili;</t>
  </si>
  <si>
    <t>- impianti di sanificazione ambienti;</t>
  </si>
  <si>
    <t xml:space="preserve">- installazione di motori, generatori e trasformatori elet- </t>
  </si>
  <si>
    <t xml:space="preserve">trici, di apparecchiature per la distribuzione e il controllo </t>
  </si>
  <si>
    <t>dell’elettricità;</t>
  </si>
  <si>
    <t>ed elettrici;</t>
  </si>
  <si>
    <t>- realizzazione di software inerenti alle attività svolte;</t>
  </si>
  <si>
    <t xml:space="preserve">- riparazioni di computer e periferiche e di prodotti elet- </t>
  </si>
  <si>
    <t>tronici di consumo audio e video;</t>
  </si>
  <si>
    <t>- lavori edili e stradali, in ambiti civili e industriali;</t>
  </si>
  <si>
    <t xml:space="preserve">- lavori di realizzazione ed installazione opere in carton- </t>
  </si>
  <si>
    <t xml:space="preserve">gesso, in ambiti civili e industriali; </t>
  </si>
  <si>
    <t>---------------------------------------- CHUNK 111 ----------------------------------------</t>
  </si>
  <si>
    <t>gesso, in ambiti civili e industriali;</t>
  </si>
  <si>
    <t>- lavori di pitturazione, in ambiti civili e industriali;</t>
  </si>
  <si>
    <t xml:space="preserve">- lavori di realizzazione ed installazione in ferro, in ambi- </t>
  </si>
  <si>
    <t>ti civili e industriali;</t>
  </si>
  <si>
    <t xml:space="preserve">- lavori di realizzazione ed installazione di porte e infis- </t>
  </si>
  <si>
    <t>si, in ambiti civili e industriali;</t>
  </si>
  <si>
    <t>- lavori di giardinaggio e cura del verde;</t>
  </si>
  <si>
    <t xml:space="preserve">- commercio, al dettaglio e all’ingrosso ed ecommerce, di </t>
  </si>
  <si>
    <t xml:space="preserve">macchine ed attrezzature per l’industria, il commercio e la </t>
  </si>
  <si>
    <t>navigazione.</t>
  </si>
  <si>
    <t xml:space="preserve">- In particolare la Società ha come oggetto prestazioni rela- </t>
  </si>
  <si>
    <t>tive a:</t>
  </si>
  <si>
    <t xml:space="preserve">- attività di progettazione, supervisione, realizzazione, av- </t>
  </si>
  <si>
    <t xml:space="preserve">viamento e collaudo di sistemi ed impianti tecnici, meccanici </t>
  </si>
  <si>
    <t xml:space="preserve">ed elettrici, per realizzazioni civili ed industriali in ge- </t>
  </si>
  <si>
    <t>nere;</t>
  </si>
  <si>
    <t xml:space="preserve">viamento e collaudo di sistemi ed impianti per il controllo </t>
  </si>
  <si>
    <t xml:space="preserve">del rischio e la mitigazione dei danni da incendio, in co- </t>
  </si>
  <si>
    <t>struzioni industriali e civili;</t>
  </si>
  <si>
    <t xml:space="preserve">viamento e collaudo di sistemi ed impianti di sanificazione </t>
  </si>
  <si>
    <t xml:space="preserve">per il controllo del rischio e la mitigazione dei danni alla </t>
  </si>
  <si>
    <t xml:space="preserve">salute umana a causa di diffusione di virus e batteri, in co- </t>
  </si>
  <si>
    <t xml:space="preserve">- attività di manutenzione, revisione ed aggiornamento di im- </t>
  </si>
  <si>
    <t xml:space="preserve">pianti tecnici, meccanici ed elettrici e relative apparec- </t>
  </si>
  <si>
    <t>chiature in ambito industriale e civile;</t>
  </si>
  <si>
    <t xml:space="preserve">- attività di studio di fattibilità, di analisi tecni- </t>
  </si>
  <si>
    <t xml:space="preserve">co-economica, fino alla produzione di documenti ed elaborati </t>
  </si>
  <si>
    <t xml:space="preserve">tecnici, per interventi realizzativi di impianti di sicurezza </t>
  </si>
  <si>
    <t>---------------------------------------- CHUNK 112 ----------------------------------------</t>
  </si>
  <si>
    <t xml:space="preserve">in generale ed, in particolare, di impianti di rilevazione e </t>
  </si>
  <si>
    <t>spegnimento di incendio e impianti di sanificazione;</t>
  </si>
  <si>
    <t xml:space="preserve">- attività di vendita, manutenzione, revisione, collaudo, ri- </t>
  </si>
  <si>
    <t xml:space="preserve">carica, riparazione ed installazione di estintori ed apparec- </t>
  </si>
  <si>
    <t xml:space="preserve">chiature e dispositivi antincendio di tutti i tipi nonché </t>
  </si>
  <si>
    <t xml:space="preserve">vendita, manutenzione, revisione, collaudo ed installazione </t>
  </si>
  <si>
    <t xml:space="preserve">di apparecchiature, autorespiratori e mezzi di antinfortuni- </t>
  </si>
  <si>
    <t>stica, in ambiti civili ed industriali;</t>
  </si>
  <si>
    <t xml:space="preserve">- attività di promozione tecnica e consulenza, presso studi </t>
  </si>
  <si>
    <t xml:space="preserve">di ingegneria e progettazione, nonché presso i potenziali u- </t>
  </si>
  <si>
    <t xml:space="preserve">tilizzatori finali, di prodotti e tecnologie innovative nel </t>
  </si>
  <si>
    <t xml:space="preserve">settore di riferimento dell’impiantistica tecnica, meccanica, </t>
  </si>
  <si>
    <t>elettrica ed elettronica, in ambiti civili ed industriali.</t>
  </si>
  <si>
    <t xml:space="preserve">- Nell'ambito di tali attività la società organizza corsi per </t>
  </si>
  <si>
    <t xml:space="preserve">la formazione e l'aggiornamento professionale nonchè promuove </t>
  </si>
  <si>
    <t xml:space="preserve">manifestazioni.  </t>
  </si>
  <si>
    <t xml:space="preserve">- Espressamente precisandosi che la società non effettua al- </t>
  </si>
  <si>
    <t xml:space="preserve">cuna prestazione in forma societaria di attività professiona- </t>
  </si>
  <si>
    <t xml:space="preserve">le intellettuale, per la quale verrà, nel più ampio rispetto </t>
  </si>
  <si>
    <t xml:space="preserve">della normativa vigente, espressamente conferito mandato pro- </t>
  </si>
  <si>
    <t xml:space="preserve">fessionale a singoli professionisti specialisti del ramo e </t>
  </si>
  <si>
    <t xml:space="preserve">non e comunque iscritti negli appositi Albi professionali, </t>
  </si>
  <si>
    <t xml:space="preserve">che ne assumeranno la responsabilità ai sensi di legge ed ef- </t>
  </si>
  <si>
    <t xml:space="preserve">fettueranno direttamente e personalmente la prestazione pro- </t>
  </si>
  <si>
    <t xml:space="preserve">fessionale richiesta. </t>
  </si>
  <si>
    <t xml:space="preserve">3.2 Ai sensi di legge, la società nominerà uno o più respon- </t>
  </si>
  <si>
    <t>---------------------------------------- CHUNK 113 ----------------------------------------</t>
  </si>
  <si>
    <t xml:space="preserve">sabili con mansioni permanenti e effettive, scelti anche fra </t>
  </si>
  <si>
    <t xml:space="preserve">non soci, purché muniti dei necessari attestati di capacità </t>
  </si>
  <si>
    <t>professionale per dirigere l'attività sociale.</t>
  </si>
  <si>
    <t xml:space="preserve">mediante l'impianto di uno o più stabilimenti industriali e </t>
  </si>
  <si>
    <t xml:space="preserve">iniziative imprenditoriali, tecnicamente organizzati e me- </t>
  </si>
  <si>
    <t xml:space="preserve">diante l'acquisto al fine di ampliarli, trasformarli o riat- </t>
  </si>
  <si>
    <t xml:space="preserve">tivarli, di stabilimenti già esistenti, avvalendosi di tutte </t>
  </si>
  <si>
    <t xml:space="preserve">le agevolazioni fiscali e creditizie previste dalle vigenti e </t>
  </si>
  <si>
    <t xml:space="preserve">dalle emanandi leggi a favore dell'industrializzazione del </t>
  </si>
  <si>
    <t xml:space="preserve">Mezzogiorno d'Italia ed in conformità allo spirito delle </t>
  </si>
  <si>
    <t>stesse.</t>
  </si>
  <si>
    <t xml:space="preserve">La società potrà assumere partecipazioni sociali sia in Ita- </t>
  </si>
  <si>
    <t xml:space="preserve">lia che all'Estero a scopo di stabile investimento e non di </t>
  </si>
  <si>
    <t xml:space="preserve">collocamento a condizione che la misura e l'oggetto della </t>
  </si>
  <si>
    <t xml:space="preserve">partecipazione non modifichino sostanzialmente l'oggetto de- </t>
  </si>
  <si>
    <t>terminato dallo statuto.</t>
  </si>
  <si>
    <t xml:space="preserve">Unicamente al fine di realizzare l'oggetto sociale, nei limi- </t>
  </si>
  <si>
    <t xml:space="preserve">ti e con le condizioni di legge, la società potrà compiere </t>
  </si>
  <si>
    <t xml:space="preserve">tutte le operazioni industriali, commerciali e finanziarie </t>
  </si>
  <si>
    <t xml:space="preserve">(non nei confronti del pubblico), mobiliari ed immobiliari </t>
  </si>
  <si>
    <t xml:space="preserve">che saranno ritenute dall'organo amministrativo necessarie od </t>
  </si>
  <si>
    <t xml:space="preserve">utili, compresa la stipula di mutui e finanziamenti e la pre- </t>
  </si>
  <si>
    <t xml:space="preserve">stazione di garanzie reali e non reali. </t>
  </si>
  <si>
    <t>---------------------------------------- CHUNK 114 ----------------------------------------</t>
  </si>
  <si>
    <t>ARTICOLO 4</t>
  </si>
  <si>
    <t xml:space="preserve">4.1 La durata della società è stabilita fino al trentuno di- </t>
  </si>
  <si>
    <t>cembre duemilasessanta (31 dicembre 2060).</t>
  </si>
  <si>
    <t xml:space="preserve">CAPITALE SOCIALE - FINANZIAMENTO SOCI </t>
  </si>
  <si>
    <t>---------------------------------------- CHUNK 115 ----------------------------------------</t>
  </si>
  <si>
    <t xml:space="preserve">ARTICOLO 5 </t>
  </si>
  <si>
    <t xml:space="preserve">5.1 Il capitale è fissato in euro 15.000,00 (euro quindicimi- </t>
  </si>
  <si>
    <t xml:space="preserve">la) ed è diviso in quote di partecipazione determinate in mi- </t>
  </si>
  <si>
    <t xml:space="preserve">sura proporzionale al conferimento. </t>
  </si>
  <si>
    <t xml:space="preserve">I diritti sociali spettano ai soci in misura proporzionale </t>
  </si>
  <si>
    <t>alla partecipazione da ciascuno posseduta.</t>
  </si>
  <si>
    <t xml:space="preserve">5.2 La società potrà aumentare il capitale sia mediante nuovi </t>
  </si>
  <si>
    <t>conferimenti, sia mediante passaggio di riserve a capitale.</t>
  </si>
  <si>
    <t xml:space="preserve">L’aumento di capitale mediante nuovi conferimenti potrà avve- </t>
  </si>
  <si>
    <t xml:space="preserve">nire mediante conferimenti in denaro, di beni in natura, di </t>
  </si>
  <si>
    <t xml:space="preserve">crediti o di qualsiasi altro elemento dell’attivo suscettibi- </t>
  </si>
  <si>
    <t>le di valutazione economica.</t>
  </si>
  <si>
    <t xml:space="preserve">Il conferimento potrà anche avvenire mediante la prestazione </t>
  </si>
  <si>
    <t xml:space="preserve">di una polizza di assicurazione o di una fideiussione banca- </t>
  </si>
  <si>
    <t xml:space="preserve">ria con cui vengano garantiti, per l’intero valore ad essi </t>
  </si>
  <si>
    <t xml:space="preserve">assegnato, gli obblighi assunti dal socio aventi per oggetto </t>
  </si>
  <si>
    <t>la prestazione d’opera o di servizi a favore della società.</t>
  </si>
  <si>
    <t xml:space="preserve">5.3 Se la delibera di aumento del capitale non lo esclude, i </t>
  </si>
  <si>
    <t xml:space="preserve">soci che esercitano il diritto di sottoscrizione, purché ne </t>
  </si>
  <si>
    <t xml:space="preserve">facciano contestuale richiesta, hanno il diritto di prelazio- </t>
  </si>
  <si>
    <t xml:space="preserve">ne sulle partecipazioni rimaste inoptate e tale diritto potrà </t>
  </si>
  <si>
    <t xml:space="preserve">essere esercitato in misura non proporzionale alle partecipa- </t>
  </si>
  <si>
    <t>zioni da essi possedute.</t>
  </si>
  <si>
    <t xml:space="preserve">Se la delibera non lo esclude, qualora l’aumento di capitale </t>
  </si>
  <si>
    <t xml:space="preserve">non sia stato collocato interamente, né in sede di sottoscri- </t>
  </si>
  <si>
    <t xml:space="preserve">zione, né in sede di prelazione dell’inoptato, la società può </t>
  </si>
  <si>
    <t xml:space="preserve">eseguirne il collocamento presso terzi estranei alla compagi- </t>
  </si>
  <si>
    <t>ne sociale.</t>
  </si>
  <si>
    <t xml:space="preserve">5.4 L’assemblea che delibera l’aumento del capitale può sta- </t>
  </si>
  <si>
    <t xml:space="preserve">bilire che tutte o parte delle quote possano essere offerte </t>
  </si>
  <si>
    <t xml:space="preserve">direttamente a terzi estranei alla compagine sociale. In tal </t>
  </si>
  <si>
    <t xml:space="preserve">caso ai soci non consenzienti spetta il diritto di recesso da </t>
  </si>
  <si>
    <t xml:space="preserve">esercitarsi secondo le modalità ed i termini del successivo </t>
  </si>
  <si>
    <t>---------------------------------------- CHUNK 116 ----------------------------------------</t>
  </si>
  <si>
    <t>art.28.</t>
  </si>
  <si>
    <t xml:space="preserve">5.5 In ogni caso, il diritto di sottoscrizione delle quote </t>
  </si>
  <si>
    <t>non spetta ai soci nelle seguenti ipotesi:</t>
  </si>
  <si>
    <t>1) se l’aumento è liberato mediante conferimenti in natura;</t>
  </si>
  <si>
    <t>2) se l’interesse della società lo esige.</t>
  </si>
  <si>
    <t xml:space="preserve">In tali ipotesi la proposta di aumento deve essere illustrata </t>
  </si>
  <si>
    <t xml:space="preserve">ai soci dall’Organo Amministrativo con apposita relazione da </t>
  </si>
  <si>
    <t xml:space="preserve">depositarsi presso la sede sociale almeno sette giorni prima </t>
  </si>
  <si>
    <t xml:space="preserve">di quello fissato per l’Assemblea. </t>
  </si>
  <si>
    <t xml:space="preserve">In ogni caso, quando il diritto di sottoscrizione resta e- </t>
  </si>
  <si>
    <t xml:space="preserve">scluso, ai soci dissenzienti spetta il diritto di recesso da </t>
  </si>
  <si>
    <t xml:space="preserve">esercitarsi secondo le modalità e i termini del successivo </t>
  </si>
  <si>
    <t xml:space="preserve">La delibera di aumento del capitale può prevedere l’eventuale </t>
  </si>
  <si>
    <t xml:space="preserve">sovrapprezzo delle quote. </t>
  </si>
  <si>
    <t>---------------------------------------- CHUNK 117 ----------------------------------------</t>
  </si>
  <si>
    <t>ARTICOLO 6</t>
  </si>
  <si>
    <t xml:space="preserve">6.1 È consentito alla società di raccogliere presso i propri </t>
  </si>
  <si>
    <t xml:space="preserve">soci, nei limiti e modi stabiliti dalla normativa vigente ed </t>
  </si>
  <si>
    <t xml:space="preserve">in particolare dall’art.11 del D.Lgs. 385/1993, fondi attra- </t>
  </si>
  <si>
    <t xml:space="preserve">verso finanziamenti produttivi o improduttivi di interessi </t>
  </si>
  <si>
    <t xml:space="preserve">necessari per il conseguimento dell’oggetto sociale con ob- </t>
  </si>
  <si>
    <t xml:space="preserve">bligo per la società della restituzione dei medesimi. </t>
  </si>
  <si>
    <t xml:space="preserve">Pertanto, qualora si ravvisi la necessità, per il raggiungi- </t>
  </si>
  <si>
    <t xml:space="preserve">mento dei fini statutari, di ricorrere a ricerca di capitale </t>
  </si>
  <si>
    <t xml:space="preserve">liquido e non si ritenga opportuno, per difficoltà obiettive </t>
  </si>
  <si>
    <t xml:space="preserve">o per la temporaneità della esigenza o per altro motivo, di </t>
  </si>
  <si>
    <t xml:space="preserve">procedere all’aumento di capitale e si vorrà, invece, ricor- </t>
  </si>
  <si>
    <t xml:space="preserve">rere a finanziamenti da parte dei soci, questi dovranno con- </t>
  </si>
  <si>
    <t xml:space="preserve">siderarsi improduttivi di interessi, salvo patto contrario. </t>
  </si>
  <si>
    <t xml:space="preserve">6.2 I finanziamenti, che potranno essere anche non proporzio- </t>
  </si>
  <si>
    <t xml:space="preserve">nali alle rispettive quote di partecipazione, saranno sogget- </t>
  </si>
  <si>
    <t xml:space="preserve">ti alla disciplina di cui all’articolo 2467. In particolare, </t>
  </si>
  <si>
    <t xml:space="preserve">il rimborso dei finanziamenti effettuati dai soci a favore </t>
  </si>
  <si>
    <t xml:space="preserve">della società in un momento in cui risulta un eccessivo squi- </t>
  </si>
  <si>
    <t xml:space="preserve">librio dell’indebitamento rispetto al patrimonio netto oppure </t>
  </si>
  <si>
    <t xml:space="preserve">in una situazione finanziaria della società nella quale sa- </t>
  </si>
  <si>
    <t xml:space="preserve">rebbe stato ragionevole un conferimento sarà postergato ri- </t>
  </si>
  <si>
    <t xml:space="preserve">spetto alla soddisfazione degli altri creditori e, se avvenu- </t>
  </si>
  <si>
    <t xml:space="preserve">to nell’anno precedente alla dichiarazione di fallimento del- </t>
  </si>
  <si>
    <t>la società dovrà essere restituito.</t>
  </si>
  <si>
    <t xml:space="preserve">La disciplina dell’art.2467 non troverà applicazione se il </t>
  </si>
  <si>
    <t xml:space="preserve">credito del socio anziché essere rimborsato verrà utilizzato </t>
  </si>
  <si>
    <t xml:space="preserve">per una operazione di aumento del capitale tramite compensa- </t>
  </si>
  <si>
    <t>zione.</t>
  </si>
  <si>
    <t xml:space="preserve">PARTECIPAZIONI - TRASFERIMENTO DELLE PARTECIPAZIONI </t>
  </si>
  <si>
    <t>---------------------------------------- CHUNK 118 ----------------------------------------</t>
  </si>
  <si>
    <t>ARTICOLO 7</t>
  </si>
  <si>
    <t xml:space="preserve">7.1 La partecipazione di ciascun socio non può essere di am- </t>
  </si>
  <si>
    <t>montare inferiore ad un Euro o multipli di Euro.</t>
  </si>
  <si>
    <t xml:space="preserve">7.2 I diritti sociali spettano ai soci in misura proporziona- </t>
  </si>
  <si>
    <t xml:space="preserve">le alla partecipazione da ciascuno posseduta, che è determi- </t>
  </si>
  <si>
    <t xml:space="preserve">nata in misura proporzionale al conferimento. </t>
  </si>
  <si>
    <t>---------------------------------------- CHUNK 119 ----------------------------------------</t>
  </si>
  <si>
    <t>ARTICOLO 8</t>
  </si>
  <si>
    <t xml:space="preserve">8.1 Nel caso di comproprietà di una partecipazione, i diritti </t>
  </si>
  <si>
    <t xml:space="preserve">dei comproprietari devono essere esercitati da un rappresen- </t>
  </si>
  <si>
    <t xml:space="preserve">tante comune nominato secondo le modalità previste dagli </t>
  </si>
  <si>
    <t xml:space="preserve">artt.1105 e 1106 del cod.civ. </t>
  </si>
  <si>
    <t>---------------------------------------- CHUNK 120 ----------------------------------------</t>
  </si>
  <si>
    <t>ARTICOLO 9</t>
  </si>
  <si>
    <t xml:space="preserve">9.1 trasferimenti delle partecipazioni sono soggetti alla se- </t>
  </si>
  <si>
    <t>guente disciplina.</t>
  </si>
  <si>
    <t xml:space="preserve">9.2 Per “trasferimento” si intende il trasferimento per atto </t>
  </si>
  <si>
    <t>tra vivi.</t>
  </si>
  <si>
    <t xml:space="preserve">9.3 Nella dizione “trasferimento per atto tra vivi” s'inten- </t>
  </si>
  <si>
    <t xml:space="preserve">dono compresi tutti i negozi di alienazione, nella più ampia </t>
  </si>
  <si>
    <t xml:space="preserve">accezione del termine e quindi, oltre alla vendita, a puro </t>
  </si>
  <si>
    <t xml:space="preserve">titolo esemplificativo, i contratti di permuta, conferimento, </t>
  </si>
  <si>
    <t xml:space="preserve">dazione in pagamento, trasferimento del mandato fiduciario e </t>
  </si>
  <si>
    <t xml:space="preserve">donazione. In tutti i casi in cui la natura del negozio non </t>
  </si>
  <si>
    <t xml:space="preserve">preveda un corrispettivo ovvero il corrispettivo sia diverso </t>
  </si>
  <si>
    <t xml:space="preserve">dal denaro, i soci acquisteranno la partecipazione versando </t>
  </si>
  <si>
    <t xml:space="preserve">all'offerente la somma determinata di comune accordo o, in </t>
  </si>
  <si>
    <t xml:space="preserve">mancanza di accordo, dall'arbitratore, come meglio specifica- </t>
  </si>
  <si>
    <t>to nel presente articolo.</t>
  </si>
  <si>
    <t xml:space="preserve">9.4 Nell'ipotesi di trasferimento eseguito senza l’osservanza </t>
  </si>
  <si>
    <t xml:space="preserve">di quanto di seguito prescritto, l’acquirente non sarà legit- </t>
  </si>
  <si>
    <t xml:space="preserve">timato all’esercizio del voto e degli altri diritti ammini- </t>
  </si>
  <si>
    <t xml:space="preserve">strativi e non potrà alienare la partecipazione con effetto </t>
  </si>
  <si>
    <t>verso la società.</t>
  </si>
  <si>
    <t xml:space="preserve">9.5 Le partecipazioni sono divisibili e liberamente trasferi- </t>
  </si>
  <si>
    <t xml:space="preserve">bili per atto tra vivi solo a favore di parenti in linea ret- </t>
  </si>
  <si>
    <t>ta.</t>
  </si>
  <si>
    <t xml:space="preserve">9.6 Pertanto il socio che intende vendere o comunque trasfe- </t>
  </si>
  <si>
    <t xml:space="preserve">rire la propria partecipazione dovrà darne comunicazione a </t>
  </si>
  <si>
    <t xml:space="preserve">tutti i soci risultanti dal Registro delle Imprese mediante </t>
  </si>
  <si>
    <t xml:space="preserve">lettera raccomandata inviata al domicilio di ciascuno di essi </t>
  </si>
  <si>
    <t xml:space="preserve">indicato nello stesso Registro delle Imprese; la comunicazio- </t>
  </si>
  <si>
    <t xml:space="preserve">ne deve contenere le generalità del cessionario e le condi- </t>
  </si>
  <si>
    <t xml:space="preserve">zioni della cessione, fra le quali, in particolare, il prezzo </t>
  </si>
  <si>
    <t xml:space="preserve">e le modalità di pagamento. I soci destinatari delle comuni- </t>
  </si>
  <si>
    <t xml:space="preserve">cazioni di cui sopra devono esercitare il diritto di prela- </t>
  </si>
  <si>
    <t>---------------------------------------- CHUNK 121 ----------------------------------------</t>
  </si>
  <si>
    <t xml:space="preserve">zione per l'acquisto della partecipazione cui la comunicazio- </t>
  </si>
  <si>
    <t xml:space="preserve">ne si riferisce facendo pervenire al socio offerente la di- </t>
  </si>
  <si>
    <t xml:space="preserve">chiarazione di esercizio della prelazione con lettera racco- </t>
  </si>
  <si>
    <t xml:space="preserve">mandata consegnata alle poste non oltre quaranta giorni dalla </t>
  </si>
  <si>
    <t xml:space="preserve">data di spedizione (risultante dal timbro postale) della of- </t>
  </si>
  <si>
    <t>ferta di prelazione.</t>
  </si>
  <si>
    <t xml:space="preserve">9.7 Nell'ipotesi di esercizio del diritto di prelazione da </t>
  </si>
  <si>
    <t xml:space="preserve">parte di più di un socio, la partecipazione offerta spetterà </t>
  </si>
  <si>
    <t xml:space="preserve">ai soci interessati in proporzione al valore nominale della </t>
  </si>
  <si>
    <t xml:space="preserve">partecipazione da ciascuno di essi posseduta. Se qualcuno de- </t>
  </si>
  <si>
    <t xml:space="preserve">gli aventi diritto alla prelazione non possa o non voglia e- </t>
  </si>
  <si>
    <t xml:space="preserve">sercitarla, il diritto a lui spettante si accresce automati- </t>
  </si>
  <si>
    <t xml:space="preserve">camente e proporzionalmente a favore di quei soci che, vice- </t>
  </si>
  <si>
    <t xml:space="preserve">versa, intendono valersene e che non vi abbiano espressamente </t>
  </si>
  <si>
    <t xml:space="preserve">e preventivamente rinunziato all'atto dell'esercizio della </t>
  </si>
  <si>
    <t>prelazione loro spettante.</t>
  </si>
  <si>
    <t xml:space="preserve">9.8 La comunicazione dell’intenzione di trasferire la parte- </t>
  </si>
  <si>
    <t xml:space="preserve">cipazione formulata con le modalità indicate equivale a pro- </t>
  </si>
  <si>
    <t xml:space="preserve">posta contrattuale ai sensi dell’articolo 1326 c.c. Pertanto </t>
  </si>
  <si>
    <t xml:space="preserve">il contratto si intenderà concluso nel momento in cui chi ha </t>
  </si>
  <si>
    <t xml:space="preserve">effettuato la comunicazione viene a conoscenza della accetta- </t>
  </si>
  <si>
    <t xml:space="preserve">zione dell’altra parte. Da tale momento, il socio cedente è </t>
  </si>
  <si>
    <t xml:space="preserve">obbligato a concordare con il cessionario la ripetizione del </t>
  </si>
  <si>
    <t xml:space="preserve">negozio in forma idonea all’iscrizione nel Registro delle Im- </t>
  </si>
  <si>
    <t>---------------------------------------- CHUNK 122 ----------------------------------------</t>
  </si>
  <si>
    <t xml:space="preserve">prese, con contestuale pagamento del prezzo come indicato </t>
  </si>
  <si>
    <t>nella denuntiatio.</t>
  </si>
  <si>
    <t xml:space="preserve">9.9 La prelazione deve essere esercitata per il prezzo indi- </t>
  </si>
  <si>
    <t>cato dall'offerente.</t>
  </si>
  <si>
    <t xml:space="preserve">9.10 Qualora il prezzo richiesto sia ritenuto eccessivo da u- </t>
  </si>
  <si>
    <t xml:space="preserve">no qualsiasi dei soci che abbia manifestato nei termini e </t>
  </si>
  <si>
    <t xml:space="preserve">nelle forme di cui sopra la volontà di esercitare la prela- </t>
  </si>
  <si>
    <t xml:space="preserve">zione, il prezzo della cessione sarà determinato dalle parti </t>
  </si>
  <si>
    <t xml:space="preserve">di comune accordo tra loro. Qualora non fosse raggiunto alcun </t>
  </si>
  <si>
    <t xml:space="preserve">accordo, il prezzo sarà determinato mediante relazione giura- </t>
  </si>
  <si>
    <t xml:space="preserve">ta di un esperto nominato dal Presidente del Tribunale compe- </t>
  </si>
  <si>
    <t xml:space="preserve">tente in relazione alla sede legale della società su richie- </t>
  </si>
  <si>
    <t xml:space="preserve">sta della parte più diligente. Nell'effettuare la sua deter- </t>
  </si>
  <si>
    <t xml:space="preserve">minazione l'arbitratore dovrà tener conto della situazione </t>
  </si>
  <si>
    <t xml:space="preserve">patrimoniale della società, della sua redditività, del valore </t>
  </si>
  <si>
    <t xml:space="preserve">dei beni materiali ed immateriali da essa posseduti, della </t>
  </si>
  <si>
    <t xml:space="preserve">sua posizione nel mercato nonché del prezzo e delle condizio- </t>
  </si>
  <si>
    <t xml:space="preserve">ni offerti dal potenziale acquirente, ove egli appaia di buo- </t>
  </si>
  <si>
    <t xml:space="preserve">na fede, e di ogni altra  circostanza e condizione che viene </t>
  </si>
  <si>
    <t xml:space="preserve">normalmente tenuta in  considerazione ai fini della determi- </t>
  </si>
  <si>
    <t xml:space="preserve">nazione del valore di partecipazioni societarie, con partico- </t>
  </si>
  <si>
    <t xml:space="preserve">lare attenzione a un eventuale “premio di maggioranza” per il </t>
  </si>
  <si>
    <t xml:space="preserve">caso di trasferimento del pacchetto di controllo della so- </t>
  </si>
  <si>
    <t>cietà.</t>
  </si>
  <si>
    <t xml:space="preserve">9.11 Le partecipazioni sono liberamente trasferibili per suc- </t>
  </si>
  <si>
    <t>---------------------------------------- CHUNK 123 ----------------------------------------</t>
  </si>
  <si>
    <t xml:space="preserve">cessione mortis causa. In caso di continuazione della società </t>
  </si>
  <si>
    <t xml:space="preserve">con più eredi del socio defunto gli stessi dovranno nominare </t>
  </si>
  <si>
    <t>un rappresentante comune.</t>
  </si>
  <si>
    <t xml:space="preserve">- EMISSIONE DI TITOLI DI DEBITO - </t>
  </si>
  <si>
    <t>---------------------------------------- CHUNK 124 ----------------------------------------</t>
  </si>
  <si>
    <t xml:space="preserve">ARTICOLO 10 </t>
  </si>
  <si>
    <t xml:space="preserve">10.1 La società può emettere titoli di debito, ai sensi e per </t>
  </si>
  <si>
    <t xml:space="preserve">gli effetti dell’art.2483 cod.civ. </t>
  </si>
  <si>
    <t xml:space="preserve">10.2 I titoli devono essere nominativi e devono riportare le </t>
  </si>
  <si>
    <t xml:space="preserve">seguenti indicazioni: </t>
  </si>
  <si>
    <t>1) denominazione, oggetto e sede della società;</t>
  </si>
  <si>
    <t xml:space="preserve">2) capitale sociale e riserve esistenti al momento della e- </t>
  </si>
  <si>
    <t>missione;</t>
  </si>
  <si>
    <t>3) data della deliberazione del prestito;</t>
  </si>
  <si>
    <t xml:space="preserve">4) caratteristiche del prestito (valore nominale di ciascun </t>
  </si>
  <si>
    <t xml:space="preserve">titolo di debito, diritti attribuiti al titolo di debito, e- </t>
  </si>
  <si>
    <t>ventuale indicizzazione e/o subordinazione etc.);</t>
  </si>
  <si>
    <t>5) eventuali garanzie che assistono i titoli di debito;</t>
  </si>
  <si>
    <t>6) firma degli amministratori della società.</t>
  </si>
  <si>
    <t xml:space="preserve">10.3 La competenza ad emettere i titoli di debito spetta alla </t>
  </si>
  <si>
    <t xml:space="preserve">Assemblea dei soci. In tal caso, la delibera dell’Assemblea </t>
  </si>
  <si>
    <t xml:space="preserve">dei soci dovrà essere approvata con il voto favorevole di </t>
  </si>
  <si>
    <t xml:space="preserve">tanti soci che rappresentano la maggioranza del capitale so- </t>
  </si>
  <si>
    <t>ciale.</t>
  </si>
  <si>
    <t xml:space="preserve">La medesima decisione deve provvedere alla regolamentazione </t>
  </si>
  <si>
    <t>dei titoli di debito ed, in particolare, deve indicare:</t>
  </si>
  <si>
    <t>1) il valore nominale dei titoli;</t>
  </si>
  <si>
    <t xml:space="preserve">2) il modo ed i tempi di pagamento degli interessi e di rim- </t>
  </si>
  <si>
    <t>borso dei titoli;</t>
  </si>
  <si>
    <t xml:space="preserve">3) gli eventuali parametri di indicizzazione cui siano legati </t>
  </si>
  <si>
    <t>gli interessi ed il rimborso dei titoli;</t>
  </si>
  <si>
    <t xml:space="preserve">4) l’eventuale subordinazione del diritto dei sottoscrittori </t>
  </si>
  <si>
    <t xml:space="preserve">al pagamento degli interessi ed al rimborso del capitale; </t>
  </si>
  <si>
    <t xml:space="preserve">5) l’investitore professionale che sottoscriverà i titoli. </t>
  </si>
  <si>
    <t xml:space="preserve">DECISIONE DEI SOCI - MODALITÀ - ASSEMBLEA DEI SOCI - SVOLGI- </t>
  </si>
  <si>
    <t xml:space="preserve">MENTO DELL’ASSEMBLEA - MAGGIORANZA </t>
  </si>
  <si>
    <t>---------------------------------------- CHUNK 125 ----------------------------------------</t>
  </si>
  <si>
    <t>ARTICOLO 11</t>
  </si>
  <si>
    <t xml:space="preserve">11.1 I soci decidono sulle materie riservate alla loro compe- </t>
  </si>
  <si>
    <t xml:space="preserve">tenza dalla legge e dalle presenti norme di funzionamento, </t>
  </si>
  <si>
    <t xml:space="preserve">nonché sugli argomenti che uno o più amministratori o tanti </t>
  </si>
  <si>
    <t xml:space="preserve">soci che rappresentano almeno un terzo del capitale sociale </t>
  </si>
  <si>
    <t xml:space="preserve">11.2 Ogni socio ha il diritto di partecipare alle decisioni </t>
  </si>
  <si>
    <t xml:space="preserve">sopra indicate in quanto iscritto nel Registro delle Imprese </t>
  </si>
  <si>
    <t xml:space="preserve">ed il suo voto vale in misura proporzionale alla sua parteci- </t>
  </si>
  <si>
    <t>pazione.</t>
  </si>
  <si>
    <t xml:space="preserve">11.3 Hanno diritto di intervenire all'assemblea i soci che </t>
  </si>
  <si>
    <t xml:space="preserve">alla data dell'assemblea stessa risultano iscritti nel Regi- </t>
  </si>
  <si>
    <t xml:space="preserve">stro delle Imprese. </t>
  </si>
  <si>
    <t xml:space="preserve">11.4 Non possono partecipare alle decisioni dei soci i soci </t>
  </si>
  <si>
    <t xml:space="preserve">morosi ed i soci titolari di partecipazioni per le quali e- </t>
  </si>
  <si>
    <t xml:space="preserve">spresse disposizioni di legge dispongono la sospensione del </t>
  </si>
  <si>
    <t xml:space="preserve">diritto di voto. </t>
  </si>
  <si>
    <t>---------------------------------------- CHUNK 126 ----------------------------------------</t>
  </si>
  <si>
    <t>ARTICOLO 12</t>
  </si>
  <si>
    <t xml:space="preserve">12.1 Le decisioni dei soci devono essere adottate mediante </t>
  </si>
  <si>
    <t xml:space="preserve">deliberazione assembleare ovvero, nei limiti consentiti dalla </t>
  </si>
  <si>
    <t xml:space="preserve">legge, mediante consultazione scritta o sulla base del con- </t>
  </si>
  <si>
    <t xml:space="preserve">senso espresso per iscritto. </t>
  </si>
  <si>
    <t>---------------------------------------- CHUNK 127 ----------------------------------------</t>
  </si>
  <si>
    <t xml:space="preserve">ARTICOLO 13 </t>
  </si>
  <si>
    <t xml:space="preserve">13.1 La consultazione scritta avviene su iniziativa di uno o </t>
  </si>
  <si>
    <t xml:space="preserve">più amministratori o di tanti soci che rappresentino almeno </t>
  </si>
  <si>
    <t>il terzo del capitale sociale.</t>
  </si>
  <si>
    <t xml:space="preserve">Essa consiste in una proposta di deliberazione che dovrà es- </t>
  </si>
  <si>
    <t xml:space="preserve">sere inviata presso il domicilio (risultante dal registro </t>
  </si>
  <si>
    <t xml:space="preserve">delle imprese e, se messo in uso, anche dal libro dei soci) </t>
  </si>
  <si>
    <t xml:space="preserve">di tutti gli aventi diritto al voto, con qualsiasi mezzo ido- </t>
  </si>
  <si>
    <t>neo ad assicurare la prova dell’avvenuto ricevimento.</t>
  </si>
  <si>
    <t xml:space="preserve">Dalla proposta deve risultare con chiarezza l’esatto testo </t>
  </si>
  <si>
    <t>della decisione da adottare.</t>
  </si>
  <si>
    <t xml:space="preserve">I soci hanno quindici giorni per trasmettere presso la sede </t>
  </si>
  <si>
    <t xml:space="preserve">sociale il loro voto il quale deve essere scritto in calce al </t>
  </si>
  <si>
    <t xml:space="preserve">documento ricevuto e contenente la proposta di decisione, </t>
  </si>
  <si>
    <t xml:space="preserve">salvo che la medesima non indichi un termine diverso, purché </t>
  </si>
  <si>
    <t>non inferiore a dieci giorni e non superiore a trenta giorni.</t>
  </si>
  <si>
    <t xml:space="preserve">Il voto può consistere in una approvazione, in un diniego ov- </t>
  </si>
  <si>
    <t>vero in una astensione espressa.</t>
  </si>
  <si>
    <t xml:space="preserve">La mancanza di risposta da parte di uno dei soci entro il </t>
  </si>
  <si>
    <t>suddetto termine viene considerata come voto contrario.</t>
  </si>
  <si>
    <t xml:space="preserve">La decisione è assunta soltanto qualora pervengano presso la </t>
  </si>
  <si>
    <t xml:space="preserve">sede sociale, nelle forme prescritte e nel termine convenuto, </t>
  </si>
  <si>
    <t xml:space="preserve">i consensi di tanti soci che raggiungano la maggioranza del </t>
  </si>
  <si>
    <t xml:space="preserve">13.2 Il consenso espresso per iscritto consiste in una di- </t>
  </si>
  <si>
    <t xml:space="preserve">chiarazione resa da ciascun socio con espresso e chiaro rife- </t>
  </si>
  <si>
    <t xml:space="preserve">rimento all’argomento oggetto della decisione e sul quale il </t>
  </si>
  <si>
    <t>socio consenziente si dichiari sufficientemente informato.</t>
  </si>
  <si>
    <t xml:space="preserve">I consensi possono essere trasmessi presso la sede sociale </t>
  </si>
  <si>
    <t xml:space="preserve">con qualsiasi mezzo idoneo ad assicurare la prova dell’avve- </t>
  </si>
  <si>
    <t>nuto consenso.</t>
  </si>
  <si>
    <t xml:space="preserve">sede sociale, nelle forme prescritte e nel termine di quindi- </t>
  </si>
  <si>
    <t xml:space="preserve">ci giorni dal ricevimento della prima comunicazione, i con- </t>
  </si>
  <si>
    <t xml:space="preserve">sensi di tanti soci che raggiungano la maggioranza del capi- </t>
  </si>
  <si>
    <t>---------------------------------------- CHUNK 128 ----------------------------------------</t>
  </si>
  <si>
    <t>tale sociale.</t>
  </si>
  <si>
    <t xml:space="preserve">13.3 Spetta all’Organo Amministrativo raccogliere le consul- </t>
  </si>
  <si>
    <t xml:space="preserve">tazioni ed i consensi scritti ricevuti e comunicarne i risul- </t>
  </si>
  <si>
    <t xml:space="preserve">tati a tutti i soci, amministratori, sindaci, se nominati, e </t>
  </si>
  <si>
    <t>revisori, se nominati, indicando:</t>
  </si>
  <si>
    <t xml:space="preserve">— i soci favorevoli, contrari ed astenuti, con la precisazio- </t>
  </si>
  <si>
    <t>ne delle quote di capitale da ciascuno di essi rappresentate;</t>
  </si>
  <si>
    <t>— la data in cui si è formata la decisione;</t>
  </si>
  <si>
    <t xml:space="preserve">— eventuali osservazioni sull’argomento oggetto della propo- </t>
  </si>
  <si>
    <t>sta, se richieste dai soci.</t>
  </si>
  <si>
    <t xml:space="preserve">Tutti i documenti attestanti la consultazione ed il consenso </t>
  </si>
  <si>
    <t xml:space="preserve">scritti devono essere conservati presso la sede della so- </t>
  </si>
  <si>
    <t>cietà, unitamente al libro delle decisioni dei soci.</t>
  </si>
  <si>
    <t xml:space="preserve">13.4 Le decisioni adottate ai sensi del presente articolo as- </t>
  </si>
  <si>
    <t xml:space="preserve">sumono la data dell’ultima dichiarazione pervenuta nel termi- </t>
  </si>
  <si>
    <t xml:space="preserve">ne innanzi indicato e devono essere trascritte senza indugio </t>
  </si>
  <si>
    <t xml:space="preserve">nel libro delle decisioni dei soci. </t>
  </si>
  <si>
    <t>---------------------------------------- CHUNK 129 ----------------------------------------</t>
  </si>
  <si>
    <t xml:space="preserve">ARTICOLO 14 </t>
  </si>
  <si>
    <t xml:space="preserve">14.1 L’Assemblea dei soci di cui all’art. 2479-bis è convoca- </t>
  </si>
  <si>
    <t xml:space="preserve">ta anche fuori della sede sociale purché in Italia da uno o </t>
  </si>
  <si>
    <t xml:space="preserve">più amministratori o da tanti soci che rappresentano almeno </t>
  </si>
  <si>
    <t xml:space="preserve">un terzo del capitale. La convocazione, garantendo la tempe- </t>
  </si>
  <si>
    <t xml:space="preserve">stività e completa informazione sugli argomenti da trattare, </t>
  </si>
  <si>
    <t xml:space="preserve">potrà avvenire mediante lettera raccomandata, ovvero con </t>
  </si>
  <si>
    <t xml:space="preserve">qualsiasi altro mezzo idoneo a assicurare la prova dell'avve- </t>
  </si>
  <si>
    <t xml:space="preserve">nuto ricevimento, spedito ai soci almeno otto giorni prima </t>
  </si>
  <si>
    <t xml:space="preserve">dell'adunanza ai soci al domicilio risultante dal Registro </t>
  </si>
  <si>
    <t xml:space="preserve">delle Imprese (nel caso di convocazione a mezzo telefax, po- </t>
  </si>
  <si>
    <t xml:space="preserve">sta elettronica, o altri mezzi similari, l'avviso deve essere </t>
  </si>
  <si>
    <t xml:space="preserve">spedito al numero di telefax, all'indirizzo di posta elettro- </t>
  </si>
  <si>
    <t xml:space="preserve">nica o allo specifico recapito che siano stati espressamente </t>
  </si>
  <si>
    <t xml:space="preserve">comunicati dal socio e che risultino espressamente dal Regi- </t>
  </si>
  <si>
    <t xml:space="preserve">stro delle Imprese), tale comunque da assicurare la tempesti- </t>
  </si>
  <si>
    <t xml:space="preserve">va informazione sugli argomenti da trattare. Sarà del pari </t>
  </si>
  <si>
    <t xml:space="preserve">considerata effettuata la comunicazione dell’avviso di convo- </t>
  </si>
  <si>
    <t xml:space="preserve">cazione ove il relativo testo sia datato e sottoscritto per </t>
  </si>
  <si>
    <t xml:space="preserve">presa visione del socio destinatario. In ogni caso, le deli- </t>
  </si>
  <si>
    <t xml:space="preserve">berazioni si intendono adottate ricorrendo i presupposti di </t>
  </si>
  <si>
    <t>cui all’art. 2479- bis, 5° comma, c.c.</t>
  </si>
  <si>
    <t xml:space="preserve">14.2 Nell’avviso di convocazione devono essere indicati il </t>
  </si>
  <si>
    <t xml:space="preserve">giorno, il luogo, l’ora dell’adunanza e l’elenco delle mate- </t>
  </si>
  <si>
    <t>rie da trattare.</t>
  </si>
  <si>
    <t xml:space="preserve">Nell’avviso di convocazione può essere prevista una data ul- </t>
  </si>
  <si>
    <t xml:space="preserve">teriore di seconda convocazione per il caso in cui, nell’adu- </t>
  </si>
  <si>
    <t xml:space="preserve">nanza prevista per la prima convocazione, l’assemblea non ri- </t>
  </si>
  <si>
    <t xml:space="preserve">sulti legalmente costituita. </t>
  </si>
  <si>
    <t>---------------------------------------- CHUNK 130 ----------------------------------------</t>
  </si>
  <si>
    <t>ARTICOLO 15</t>
  </si>
  <si>
    <t xml:space="preserve">15.1 L'Assemblea è presieduta, a seconda della strutturazione </t>
  </si>
  <si>
    <t xml:space="preserve">dell'organo amministrativo, dall'Amministratore unico o dal </t>
  </si>
  <si>
    <t xml:space="preserve">Presidente del Consiglio di Amministrazione o, in caso di as- </t>
  </si>
  <si>
    <t xml:space="preserve">senza e/o impedimento di quest'ultimo, dall'Amministratore </t>
  </si>
  <si>
    <t xml:space="preserve">più anziano. In caso di assenza o di impedimento di questi, </t>
  </si>
  <si>
    <t xml:space="preserve">l'Assemblea è presieduta dalla persona eletta con il voto </t>
  </si>
  <si>
    <t>della maggioranza dei presenti.</t>
  </si>
  <si>
    <t xml:space="preserve">15.2 Il Presidente dell'Assemblea nomina ed è assistito da un </t>
  </si>
  <si>
    <t xml:space="preserve">segretario che  può essere scelto anche fra i non soci, salvo </t>
  </si>
  <si>
    <t xml:space="preserve">che il verbale debba essere redatto da un notaio che funge da </t>
  </si>
  <si>
    <t>segretario e designato dal Presidente dell'Assemblea.</t>
  </si>
  <si>
    <t xml:space="preserve">15.3 Spetta al Presidente dell'Assemblea constatare la rego- </t>
  </si>
  <si>
    <t xml:space="preserve">lare costituzione della stessa, accertare l'identità e la le- </t>
  </si>
  <si>
    <t xml:space="preserve">gittimazione dei presenti, dirigere e regolare lo svolgimento </t>
  </si>
  <si>
    <t xml:space="preserve">dell'Assemblea ed accertare i risultati delle votazioni. </t>
  </si>
  <si>
    <t>---------------------------------------- CHUNK 131 ----------------------------------------</t>
  </si>
  <si>
    <t>ARTICOLO 16</t>
  </si>
  <si>
    <t xml:space="preserve">16.1 Ogni soggetto che abbia diritto ad intervenire in Assem- </t>
  </si>
  <si>
    <t xml:space="preserve">blea può farsi rappresentare anche da un non socio, mediante </t>
  </si>
  <si>
    <t xml:space="preserve">una delega scritta che deve essere conservata dalla società, </t>
  </si>
  <si>
    <t xml:space="preserve">ai sensi degli artt. 2479-bis, secondo comma e 2478, secondo </t>
  </si>
  <si>
    <t xml:space="preserve">comma, n. 2. </t>
  </si>
  <si>
    <t xml:space="preserve">Nella delega deve essere specificato il nome del rappresen- </t>
  </si>
  <si>
    <t>tante.</t>
  </si>
  <si>
    <t xml:space="preserve">Se la delega viene conferita per la singola assemblea, essa </t>
  </si>
  <si>
    <t xml:space="preserve">16.2 La rappresentanza non può essere conferita ad ammini- </t>
  </si>
  <si>
    <t xml:space="preserve">stratori o a sindaci, se nominati, o al revisore, se nominato. </t>
  </si>
  <si>
    <t>---------------------------------------- CHUNK 132 ----------------------------------------</t>
  </si>
  <si>
    <t>ARTICOLO 17</t>
  </si>
  <si>
    <t xml:space="preserve">17.1 Il verbale deve indicare la data dell’Assemblea e l’i- </t>
  </si>
  <si>
    <t xml:space="preserve">dentità dei partecipanti e il capitale rappresentato da cia- </t>
  </si>
  <si>
    <t xml:space="preserve">scuno; deve altresì indicare le modalità e il risultato delle </t>
  </si>
  <si>
    <t xml:space="preserve">votazioni e deve consentire l’identificazione dei soci favo- </t>
  </si>
  <si>
    <t xml:space="preserve">revoli, astenuti o dissenzienti. Nel verbale devono essere </t>
  </si>
  <si>
    <t xml:space="preserve">riassunte, su richiesta dei soci, le loro dichiarazioni per- </t>
  </si>
  <si>
    <t xml:space="preserve">tinenti all’ordine del giorno. Il verbale deve essere redatto </t>
  </si>
  <si>
    <t xml:space="preserve">senza ritardo, nei tempi necessari per la tempestiva esecu- </t>
  </si>
  <si>
    <t>zione degli obblighi di deposito o di pubblicazione.</t>
  </si>
  <si>
    <t xml:space="preserve">17.2 Il verbale è sottoscritto dal Presidente e dal Segreta- </t>
  </si>
  <si>
    <t>rio o dal Notaio, se richiesto dalla legge.</t>
  </si>
  <si>
    <t xml:space="preserve">17.3 Il verbale relativo alle delibere assembleari comportan- </t>
  </si>
  <si>
    <t xml:space="preserve">ti la modifica dell'atto costitutivo deve essere redatto da </t>
  </si>
  <si>
    <t>un Notaio.</t>
  </si>
  <si>
    <t xml:space="preserve">17.4 Il verbale dell'assemblea, anche se redatto per atto </t>
  </si>
  <si>
    <t xml:space="preserve">pubblico, deve essere trascritto, senza indugio, nel libro </t>
  </si>
  <si>
    <t>delle decisioni dei soci.</t>
  </si>
  <si>
    <t xml:space="preserve">17.5 L’Assemblea potrà svolgersi in videoconferenza o in te- </t>
  </si>
  <si>
    <t xml:space="preserve">leconferenza, con intervenuti dislocati in più luoghi, conti- </t>
  </si>
  <si>
    <t xml:space="preserve">gui o distanti collegati con mezzi di telecomunicazione a </t>
  </si>
  <si>
    <t>condizione che:</t>
  </si>
  <si>
    <t xml:space="preserve">— fatta eccezione per l’ipotesi in cui l’Assemblea si sia re- </t>
  </si>
  <si>
    <t xml:space="preserve">golarmente costituita ai sensi dell’art. 2479-bis, siano in- </t>
  </si>
  <si>
    <t xml:space="preserve">dicati nell’avviso di convocazione i luoghi audio o video nei </t>
  </si>
  <si>
    <t xml:space="preserve">quali gli intervenuti dovranno affluire, dovendosi comunque </t>
  </si>
  <si>
    <t xml:space="preserve">ritenere che il luogo dove si intende svolta l’Assemblea è </t>
  </si>
  <si>
    <t xml:space="preserve">sempre quello in cui sono presenti il Presidente ed il sog- </t>
  </si>
  <si>
    <t>getto verbalizzante;</t>
  </si>
  <si>
    <t xml:space="preserve">— sia consentito al Presidente della Assemblea di accertare </t>
  </si>
  <si>
    <t xml:space="preserve">l’identità e la legittimazione degli intervenuti; di regolare </t>
  </si>
  <si>
    <t xml:space="preserve">lo svolgimento della adunanza; di constatare e proclamare i </t>
  </si>
  <si>
    <t>risultati della votazione;</t>
  </si>
  <si>
    <t xml:space="preserve">— sia consentito al soggetto verbalizzante di percepire ade- </t>
  </si>
  <si>
    <t xml:space="preserve">guatamente gli eventi assembleari oggetto della verbalizza- </t>
  </si>
  <si>
    <t>zione;</t>
  </si>
  <si>
    <t xml:space="preserve">— sia consentito agli intervenuti di partecipare alla discus- </t>
  </si>
  <si>
    <t xml:space="preserve">sione e di votare simultaneamente sugli argomenti posti </t>
  </si>
  <si>
    <t xml:space="preserve">all’ordine del giorno. </t>
  </si>
  <si>
    <t>---------------------------------------- CHUNK 133 ----------------------------------------</t>
  </si>
  <si>
    <t xml:space="preserve">ARTICOLO 18 </t>
  </si>
  <si>
    <t xml:space="preserve">18.1 L'Assemblea in prima convocazione delibera con il voto </t>
  </si>
  <si>
    <t xml:space="preserve">favorevole di tanti soci che rappresentano la maggioranza del </t>
  </si>
  <si>
    <t xml:space="preserve">capitale sociale; in seconda convocazione validamente delibe- </t>
  </si>
  <si>
    <t xml:space="preserve">ra con il voto favorevole della maggioranza dei presenti qua- </t>
  </si>
  <si>
    <t xml:space="preserve">lunque sia la parte del capitale sociale intervenuta. Tutta- </t>
  </si>
  <si>
    <t xml:space="preserve">via, nei casi di delibere modificative del presente statuto e </t>
  </si>
  <si>
    <t xml:space="preserve">di delibere di compiere operazioni che comportano una sostan- </t>
  </si>
  <si>
    <t xml:space="preserve">ziale modificazione dell'oggetto sociale o una rilevante mo- </t>
  </si>
  <si>
    <t xml:space="preserve">dificazione dei diritti dei soci, è sempre richiesto il voto </t>
  </si>
  <si>
    <t xml:space="preserve">capitale sociale. </t>
  </si>
  <si>
    <t xml:space="preserve">18.2 Nel caso di decisione assunta mediante consultazione </t>
  </si>
  <si>
    <t xml:space="preserve">scritta o consenso espresso per iscritto, le decisioni sono </t>
  </si>
  <si>
    <t xml:space="preserve">adottate con il voto favorevole dei soci che rappresentino la </t>
  </si>
  <si>
    <t>maggioranza del capitale sociale.</t>
  </si>
  <si>
    <t xml:space="preserve">18.3 Per introdurre, modificare o sopprimere i diritti attri- </t>
  </si>
  <si>
    <t xml:space="preserve">buiti ai singoli soci ai sensi del terzo comma dell’art. 2468 </t>
  </si>
  <si>
    <t>c.c. è necessario il consenso di tutti i soci.</t>
  </si>
  <si>
    <t xml:space="preserve">AMMINISTRAZIONE </t>
  </si>
  <si>
    <t>---------------------------------------- CHUNK 134 ----------------------------------------</t>
  </si>
  <si>
    <t xml:space="preserve">ARTICOLO 19 </t>
  </si>
  <si>
    <t xml:space="preserve">19.1 Gli amministratori vengono nominati con decisione dei </t>
  </si>
  <si>
    <t>soci presa ai sensi dell'art. 2479 c.c.</t>
  </si>
  <si>
    <t xml:space="preserve">19.2 La società può essere amministrata, alternativamente, su </t>
  </si>
  <si>
    <t xml:space="preserve">b. da un consiglio di amministrazione composto da due a cin- </t>
  </si>
  <si>
    <t xml:space="preserve">que amministratori, secondo il numero determinato dai soci al </t>
  </si>
  <si>
    <t>momento della nomina;</t>
  </si>
  <si>
    <t xml:space="preserve">c. da due o più amministratori con poteri congiunti, disgiun- </t>
  </si>
  <si>
    <t>ti o da esercitarsi a maggioranza.</t>
  </si>
  <si>
    <t xml:space="preserve">Qualora vengono nominati due o più amministratori senza alcu- </t>
  </si>
  <si>
    <t xml:space="preserve">na indicazione relativa alle modalità di esercizio dei poteri </t>
  </si>
  <si>
    <t xml:space="preserve">di amministrazione, si intende costituito un consiglio di am- </t>
  </si>
  <si>
    <t>ministrazione.</t>
  </si>
  <si>
    <t xml:space="preserve">19.3 Gli amministratori possono essere anche non soci e re- </t>
  </si>
  <si>
    <t xml:space="preserve">stano in carica fino a revoca o dimissioni o per il periodo </t>
  </si>
  <si>
    <t>determinato dai soci al momento della nomina.</t>
  </si>
  <si>
    <t xml:space="preserve">Gli amministratori sono rieleggibili. La cessazione degli am- </t>
  </si>
  <si>
    <t xml:space="preserve">ministratori per scadenza del termine ha effetto dal momento </t>
  </si>
  <si>
    <t xml:space="preserve">in cui il nuovo organo amministrativo è stato ricostituito. </t>
  </si>
  <si>
    <t>---------------------------------------- CHUNK 135 ----------------------------------------</t>
  </si>
  <si>
    <t xml:space="preserve">ARTICOLO 20 </t>
  </si>
  <si>
    <t xml:space="preserve">20.1 L’Organo Amministrativo è investito dei più ampi poteri </t>
  </si>
  <si>
    <t xml:space="preserve">per la gestione della società, ad eccezione soltanto di quan- </t>
  </si>
  <si>
    <t xml:space="preserve">to sia riservato, dalla legge o dalle presenti norme di fun- </t>
  </si>
  <si>
    <t>zionamento, alla decisione dei soci in sede di nomina.</t>
  </si>
  <si>
    <t xml:space="preserve">In particolare, fermo restando in capo ad esso la funzione di </t>
  </si>
  <si>
    <t xml:space="preserve">indirizzo attinente alla definizione degli obiettivi globali </t>
  </si>
  <si>
    <t xml:space="preserve">e la fissazione delle strategie della società nonché la fun- </t>
  </si>
  <si>
    <t xml:space="preserve">zione di controllo analitico e costante dell’operato dei pro- </t>
  </si>
  <si>
    <t xml:space="preserve">pri collaboratori, l’Organo Amministrativo potrà conferire </t>
  </si>
  <si>
    <t xml:space="preserve">parte dei suoi poteri a procuratori all’uopo nominati per </t>
  </si>
  <si>
    <t xml:space="preserve">singoli atti o categorie di atti. Inoltre, potrà nominare </t>
  </si>
  <si>
    <t xml:space="preserve">preposti alla vendita, institori, direttori tecnici e diret- </t>
  </si>
  <si>
    <t xml:space="preserve">tori generali. </t>
  </si>
  <si>
    <t>---------------------------------------- CHUNK 136 ----------------------------------------</t>
  </si>
  <si>
    <t>ARTICOLO 21</t>
  </si>
  <si>
    <t xml:space="preserve">21.1 Quando l’amministrazione è affidata a più persone, que- </t>
  </si>
  <si>
    <t xml:space="preserve">ste costituiscono il consiglio di amministrazione. </t>
  </si>
  <si>
    <t xml:space="preserve">21.2 Tuttavia, salvo quanto per legge riservato alla compe- </t>
  </si>
  <si>
    <t xml:space="preserve">tenza del consiglio di amministrazione, l’amministrazione può </t>
  </si>
  <si>
    <t xml:space="preserve">essere ad esse affidata disgiuntamente oppure congiuntamente, </t>
  </si>
  <si>
    <t xml:space="preserve">secondo quanto stabilito nella deliberazione di nomina; in </t>
  </si>
  <si>
    <t xml:space="preserve">tali casi si applicano, rispettivamente, gli articoli 2257 e </t>
  </si>
  <si>
    <t xml:space="preserve">2258 c.c., ma la decisione di cui al terzo comma dell’art. </t>
  </si>
  <si>
    <t xml:space="preserve">2257 c.c. e al secondo comma dell’art. 2258 c.c. è adottata </t>
  </si>
  <si>
    <t xml:space="preserve">dagli amministratori a maggioranza calcolata per teste. </t>
  </si>
  <si>
    <t>---------------------------------------- CHUNK 137 ----------------------------------------</t>
  </si>
  <si>
    <t>ARTICOLO 22</t>
  </si>
  <si>
    <t xml:space="preserve">22.1 Il Consiglio di Amministrazione, elegge nel suo seno il </t>
  </si>
  <si>
    <t>Presidente e il vice-Presidente se non già nominati dai soci.</t>
  </si>
  <si>
    <t xml:space="preserve">Nel caso di decisione collegiale il consiglio si riunisce </t>
  </si>
  <si>
    <t xml:space="preserve">presso la sede sociale o in qualsiasi altro luogo, in Italia, </t>
  </si>
  <si>
    <t xml:space="preserve">ogni volta che il Presidente lo ritenga opportuno oppure ne </t>
  </si>
  <si>
    <t>faccia domanda uno dei Consiglieri.</t>
  </si>
  <si>
    <t xml:space="preserve">22.2 L'avviso di convocazione deve essere inviato ai Consi- </t>
  </si>
  <si>
    <t>glieri a mezzo:</t>
  </si>
  <si>
    <t xml:space="preserve">ciascun amministratore (e Sindaco Effettivo o Revisore se no- </t>
  </si>
  <si>
    <t>minati) almeno otto giorni prima della adunanza,</t>
  </si>
  <si>
    <t xml:space="preserve">- telefax, messaggio di posta elettronica inviati a ciascun </t>
  </si>
  <si>
    <t xml:space="preserve">amministratore (e Sindaco Effettivo o Revisore se nominati) </t>
  </si>
  <si>
    <t xml:space="preserve">almeno tre giorni prima dell’adunanza, rispettivamente al nu- </t>
  </si>
  <si>
    <t xml:space="preserve">mero di fax, al numero di telefono o all’indirizzo di posta </t>
  </si>
  <si>
    <t>elettronica notificato alla società.</t>
  </si>
  <si>
    <t xml:space="preserve">L’avviso dovrà indicare la data, l'ora ed il luogo della riu- </t>
  </si>
  <si>
    <t xml:space="preserve">nione, e gli argomenti da trattare. </t>
  </si>
  <si>
    <t xml:space="preserve">Nei casi di urgenza il termine potrà essere ridotto ad un </t>
  </si>
  <si>
    <t xml:space="preserve">giorno e l'avviso sarà spedito per telegramma o inviato per </t>
  </si>
  <si>
    <t>telefax, messaggio SMS o messaggio di posta elettronica.</t>
  </si>
  <si>
    <t xml:space="preserve">22.3 La riunione collegiale è validamente costituita purché </t>
  </si>
  <si>
    <t xml:space="preserve">sia presente almeno la maggioranza assoluta degli Amministra- </t>
  </si>
  <si>
    <t xml:space="preserve">tori. Le deliberazioni sono prese con il voto favorevole del- </t>
  </si>
  <si>
    <t xml:space="preserve">la maggioranza assoluta dei Consiglieri presenti. Il relativo </t>
  </si>
  <si>
    <t xml:space="preserve">verbale è sottoscritto dal Presidente e dal Segretario che </t>
  </si>
  <si>
    <t xml:space="preserve">potrà essere anche estraneo al Consiglio. </t>
  </si>
  <si>
    <t xml:space="preserve">22.4 E' possibile tenere le riunioni del Consiglio di Ammini- </t>
  </si>
  <si>
    <t xml:space="preserve">strazione con intervenuti dislocati in più luoghi audio/video </t>
  </si>
  <si>
    <t xml:space="preserve">collegati, e ciò alle seguenti condizioni, cui dovrà essere </t>
  </si>
  <si>
    <t xml:space="preserve">dato atto nei relativi verbali: </t>
  </si>
  <si>
    <t>---------------------------------------- CHUNK 138 ----------------------------------------</t>
  </si>
  <si>
    <t>dato atto nei relativi verbali:</t>
  </si>
  <si>
    <t xml:space="preserve">a) che siano presenti nello stesso luogo il Presidente ed il </t>
  </si>
  <si>
    <t xml:space="preserve">Segretario della riunione che provvederanno alla formazione e </t>
  </si>
  <si>
    <t xml:space="preserve">sottoscrizione del verbale, dovendosi ritenere svolta la riu- </t>
  </si>
  <si>
    <t>nione in detto luogo;</t>
  </si>
  <si>
    <t xml:space="preserve">b) che sia consentito al Presidente della riunione di accer- </t>
  </si>
  <si>
    <t xml:space="preserve">tare l'identità degli intervenuti, regolare lo svolgimento </t>
  </si>
  <si>
    <t xml:space="preserve">della riunione, constatare e proclamare i risultati della vo- </t>
  </si>
  <si>
    <t xml:space="preserve">tazione; </t>
  </si>
  <si>
    <t xml:space="preserve">c) che sia consentito al soggetto verbalizzante di percepire </t>
  </si>
  <si>
    <t xml:space="preserve">adeguatamente gli eventi della riunione oggetto di verbaliz- </t>
  </si>
  <si>
    <t>zazione;</t>
  </si>
  <si>
    <t xml:space="preserve">d) che sia consentito agli intervenuti di partecipare alla </t>
  </si>
  <si>
    <t xml:space="preserve">discussione ed alla votazione simultanea sugli argomenti al- </t>
  </si>
  <si>
    <t xml:space="preserve">l'ordine del giorno, nonché di visionare, ricevere o trasmet- </t>
  </si>
  <si>
    <t xml:space="preserve">tere documenti. </t>
  </si>
  <si>
    <t>---------------------------------------- CHUNK 139 ----------------------------------------</t>
  </si>
  <si>
    <t>ARTICOLO 23</t>
  </si>
  <si>
    <t xml:space="preserve">23.1 Al fine di semplificare le regole organizzative mediante </t>
  </si>
  <si>
    <t xml:space="preserve">la riduzione del numero degli amministratori il consiglio di </t>
  </si>
  <si>
    <t xml:space="preserve">amministrazione, ai sensi e nei limiti dell'art.2381 c.c., </t>
  </si>
  <si>
    <t xml:space="preserve">può delegare le proprie attribuzioni ad un comitato esecutivo </t>
  </si>
  <si>
    <t xml:space="preserve">composto di alcuni dei suoi componenti che agisce col metodo </t>
  </si>
  <si>
    <t xml:space="preserve">collegiale o ad uno o più amministratori delegati che agisco- </t>
  </si>
  <si>
    <t xml:space="preserve">no individualmente o congiuntamente. </t>
  </si>
  <si>
    <t>---------------------------------------- CHUNK 140 ----------------------------------------</t>
  </si>
  <si>
    <t>ARTICOLO 24</t>
  </si>
  <si>
    <t xml:space="preserve">24.1 La rappresentanza della società di fronte ai terzi ed in </t>
  </si>
  <si>
    <t>giudizio spetta:</t>
  </si>
  <si>
    <t xml:space="preserve">- all'Amministratore Unico, </t>
  </si>
  <si>
    <t xml:space="preserve">- al Presidente del Consiglio di Amministrazione o, in caso </t>
  </si>
  <si>
    <t xml:space="preserve">di assenza o impedimento di questi, al Vice Presidente,  </t>
  </si>
  <si>
    <t xml:space="preserve">- all'Amministratore Delegato, nei limiti della delega,  </t>
  </si>
  <si>
    <t>amministrazione disgiuntiva ai sensi dell’art 2257 c.c.,</t>
  </si>
  <si>
    <t xml:space="preserve">- a tutti gli amministratori congiuntamente in caso di ammi- </t>
  </si>
  <si>
    <t xml:space="preserve">nistrazione congiuntiva ai sensi dell’art 2258 c.c., </t>
  </si>
  <si>
    <t xml:space="preserve">- al procuratore o ai procuratori, se nominati, nei limiti </t>
  </si>
  <si>
    <t xml:space="preserve">dei poteri conferiti. </t>
  </si>
  <si>
    <t>---------------------------------------- CHUNK 141 ----------------------------------------</t>
  </si>
  <si>
    <t>ARTICOLO 25</t>
  </si>
  <si>
    <t xml:space="preserve">25.1 Agli amministratori spetta il rimborso delle spese so- </t>
  </si>
  <si>
    <t>stenute per ragioni del loro ufficio.</t>
  </si>
  <si>
    <t xml:space="preserve">I soci possono, inoltre, assegnare agli amministratori un </t>
  </si>
  <si>
    <t xml:space="preserve">compenso annuale in misura fissa stabilita all’atto della lo- </t>
  </si>
  <si>
    <t xml:space="preserve">ro nomina o successivamente ovvero possono assegnare agli am- </t>
  </si>
  <si>
    <t xml:space="preserve">ministratori un compenso in misura proporzionale agli utili </t>
  </si>
  <si>
    <t>netti di esercizio.</t>
  </si>
  <si>
    <t xml:space="preserve">I soci possono, altresì, accantonare a favore degli stessi </t>
  </si>
  <si>
    <t xml:space="preserve">amministratori somme a titolo di indennità per la cessazione </t>
  </si>
  <si>
    <t xml:space="preserve">della carica, il tutto nei limiti e con le modalità previste </t>
  </si>
  <si>
    <t>dalla vigente normativa in materia.</t>
  </si>
  <si>
    <t xml:space="preserve">ORGANO di CONTROLLO </t>
  </si>
  <si>
    <t>---------------------------------------- CHUNK 142 ----------------------------------------</t>
  </si>
  <si>
    <t>ARTICOLO 26</t>
  </si>
  <si>
    <t xml:space="preserve">26.1 Qualora ne sussista l'obbligo ai sensi di legge, i soci </t>
  </si>
  <si>
    <t xml:space="preserve">nominano un Organo di controllo ovvero un Revisore esterno, </t>
  </si>
  <si>
    <t>ai sensi dell'art.2477 cod.civ.</t>
  </si>
  <si>
    <t xml:space="preserve">26.2 L'organo di controllo obbligatorio è monocratico. </t>
  </si>
  <si>
    <t>---------------------------------------- CHUNK 143 ----------------------------------------</t>
  </si>
  <si>
    <t>ARTICOLO 27</t>
  </si>
  <si>
    <t xml:space="preserve">27.1 L'Organo di controllo vigila sulla osservanza della </t>
  </si>
  <si>
    <t xml:space="preserve">legge e dello statuto, sul rispetto dei principi di corretta </t>
  </si>
  <si>
    <t xml:space="preserve">amministrazione e in particolare sull'adeguatezza dell'asset- </t>
  </si>
  <si>
    <t xml:space="preserve">to organizzativo, amministrativo e contabile adottato dalla </t>
  </si>
  <si>
    <t xml:space="preserve">società e sul suo concreto funzionamento. I soci possono af- </t>
  </si>
  <si>
    <t xml:space="preserve">fidare all'Organo di controllo anche la funzione di revisione </t>
  </si>
  <si>
    <t>legale dei conti.</t>
  </si>
  <si>
    <t xml:space="preserve">27.2 Contestualmente o in alternativa alla nomina dell'Organo </t>
  </si>
  <si>
    <t xml:space="preserve">di controllo, i soci possono affidare la funzione di revisio- </t>
  </si>
  <si>
    <t>ne legale dei conti a un Revisore esterno.</t>
  </si>
  <si>
    <t xml:space="preserve">27.3 Nel caso di nomina dell'Organo di controllo, si applica- </t>
  </si>
  <si>
    <t xml:space="preserve">no le disposizioni sul Collegio sindacale previste per le so- </t>
  </si>
  <si>
    <t>cietà per azioni.</t>
  </si>
  <si>
    <t xml:space="preserve">27.4 Nel caso di nomina di un Revisore esterno, si applicano </t>
  </si>
  <si>
    <t xml:space="preserve">le vigenti disposizioni di legge in tema di revisione legale </t>
  </si>
  <si>
    <t xml:space="preserve">dei conti. Tali disposizioni trovano altresì applicazione nei </t>
  </si>
  <si>
    <t xml:space="preserve">confronti dell'Organo di controllo in relazione alla funzione </t>
  </si>
  <si>
    <t>di revisore legale ad esso eventualmente affidata.</t>
  </si>
  <si>
    <t xml:space="preserve">27.5 Anche in assenza di un obbligo di legge, i soci possono </t>
  </si>
  <si>
    <t xml:space="preserve">nominare un organo di controllo monocratico, con i poteri di </t>
  </si>
  <si>
    <t xml:space="preserve">cui al precedente comma 3. Nel caso di nomina dell'organo di </t>
  </si>
  <si>
    <t xml:space="preserve">controllo trovano applicazione le disposizioni sul collegio </t>
  </si>
  <si>
    <t>sindacale previste per le società per azioni.</t>
  </si>
  <si>
    <t xml:space="preserve">RECESSO DEL SOCIO </t>
  </si>
  <si>
    <t>---------------------------------------- CHUNK 144 ----------------------------------------</t>
  </si>
  <si>
    <t>ARTICOLO 28</t>
  </si>
  <si>
    <t xml:space="preserve">28.1 Il diritto di recesso compete ai soci nei casi previsti </t>
  </si>
  <si>
    <t xml:space="preserve">dalla legge. Il recesso è esercitato nelle modalità e con le </t>
  </si>
  <si>
    <t xml:space="preserve">limitazioni stabilite dalla legge. </t>
  </si>
  <si>
    <t>---------------------------------------- CHUNK 145 ----------------------------------------</t>
  </si>
  <si>
    <t>ARTICOLO 29</t>
  </si>
  <si>
    <t xml:space="preserve">29.1 Il recesso del socio avviene con le modalità e le limi- </t>
  </si>
  <si>
    <t xml:space="preserve">tazioni stabilite dall'art.2473 cod.civ. </t>
  </si>
  <si>
    <t xml:space="preserve">ESERCIZI SOCIALI - BILANCIO E DESTINAZIONE DEGLI UTILI </t>
  </si>
  <si>
    <t>---------------------------------------- CHUNK 146 ----------------------------------------</t>
  </si>
  <si>
    <t>ARTICOLO 30</t>
  </si>
  <si>
    <t xml:space="preserve">30.1 Gli esercizi sociali si chiudono al 31 dicembre di ogni </t>
  </si>
  <si>
    <t>anno.</t>
  </si>
  <si>
    <t xml:space="preserve">30.2 Alla chiusura di ciascun esercizio sociale l'organo am- </t>
  </si>
  <si>
    <t xml:space="preserve">ministrativo provvede alla compilazione del bilancio di eser- </t>
  </si>
  <si>
    <t xml:space="preserve">cizio ed alle conseguenti formalità rispettando le vigenti </t>
  </si>
  <si>
    <t>norme di legge.</t>
  </si>
  <si>
    <t xml:space="preserve">30.3 Il bilancio deve essere approvato entro centoventi gior- </t>
  </si>
  <si>
    <t xml:space="preserve">ni dalla chiusura dell'esercizio sociale ovvero entro centot- </t>
  </si>
  <si>
    <t xml:space="preserve">tanta giorni qualora particolari esigenze della società lo </t>
  </si>
  <si>
    <t xml:space="preserve">richiedano: in quest'ultimo caso peraltro gli amministratori </t>
  </si>
  <si>
    <t xml:space="preserve">devono segnalare nella loro relazione (o nella nota integra- </t>
  </si>
  <si>
    <t xml:space="preserve">tiva in caso di bilancio redatto in forma abbreviata) le ra- </t>
  </si>
  <si>
    <t xml:space="preserve">gioni della dilazione. </t>
  </si>
  <si>
    <t>---------------------------------------- CHUNK 147 ----------------------------------------</t>
  </si>
  <si>
    <t>ARTICOLO 31</t>
  </si>
  <si>
    <t xml:space="preserve">31.1 Dagli utili netti risultanti dal bilancio deve essere </t>
  </si>
  <si>
    <t xml:space="preserve">dedotta una somma corrispondente al 5% (cinque per cento) da </t>
  </si>
  <si>
    <t xml:space="preserve">destinare alla riserva legale finchè questa non abbia rag- </t>
  </si>
  <si>
    <t>giunto il quinto del capitale sociale.</t>
  </si>
  <si>
    <t xml:space="preserve">31.2 La delibera dell'assemblea dei soci che approva il bi- </t>
  </si>
  <si>
    <t>lancio decide sulla distribuzione degli utili ai soci.</t>
  </si>
  <si>
    <t xml:space="preserve">SCIOGLIMENTO E LIQUIDAZIONE </t>
  </si>
  <si>
    <t>---------------------------------------- CHUNK 148 ----------------------------------------</t>
  </si>
  <si>
    <t>ARTICOLO 32</t>
  </si>
  <si>
    <t xml:space="preserve">32.1 Lo scioglimento anticipato volontario della società è </t>
  </si>
  <si>
    <t xml:space="preserve">deliberato dall'Assemblea dei soci con le maggioranze previ- </t>
  </si>
  <si>
    <t>ste per la modifica del presente Statuto.</t>
  </si>
  <si>
    <t xml:space="preserve">32.2 Nel caso di cui al precedente comma 1) nonchè verifican- </t>
  </si>
  <si>
    <t xml:space="preserve">dosi una delle altre cause di scioglimento previste dal- </t>
  </si>
  <si>
    <t xml:space="preserve">l'art.2484 cod.civ. ovvero da altre disposizioni di legge o </t>
  </si>
  <si>
    <t xml:space="preserve">del presente Statuto, l'Assemblea con apposita deliberazione </t>
  </si>
  <si>
    <t xml:space="preserve">da adottarsi sempre con le maggioranze previste per la modi- </t>
  </si>
  <si>
    <t>fica del presente Statuto, dispone:</t>
  </si>
  <si>
    <t>collegio in caso di pluralità di liquidatori;</t>
  </si>
  <si>
    <t xml:space="preserve">- la nomina dei liquidatori, con indicazione di quelli cui </t>
  </si>
  <si>
    <t>spetta la rappresentanza della società;</t>
  </si>
  <si>
    <t>- i criteri in base ai quali deve svolgersi la liquidazione;</t>
  </si>
  <si>
    <t xml:space="preserve">In mancanza di alcuna disposizione in ordine ai poteri dei </t>
  </si>
  <si>
    <t>liquidatori si applica la disposizione dell'art.2489 cod.civ.</t>
  </si>
  <si>
    <t xml:space="preserve">DISPOSIZIONI GENERALI </t>
  </si>
  <si>
    <t>---------------------------------------- CHUNK 149 ----------------------------------------</t>
  </si>
  <si>
    <t>ARTICOLO 33</t>
  </si>
  <si>
    <t xml:space="preserve">33.1 Il domicilio dei soci, nei rapporti con la società o tra </t>
  </si>
  <si>
    <t xml:space="preserve">di loro, è quello che risulta dal Registro delle Imprese. </t>
  </si>
  <si>
    <t>---------------------------------------- CHUNK 150 ----------------------------------------</t>
  </si>
  <si>
    <t>ARTICOLO 34</t>
  </si>
  <si>
    <t xml:space="preserve">34.1 Le disposizioni del presente Statuto si applicano anche </t>
  </si>
  <si>
    <t xml:space="preserve">nel caso in cui la società abbia un unico socio, se ed in </t>
  </si>
  <si>
    <t xml:space="preserve">quanto non presuppongono necessariamente una pluralità di so- </t>
  </si>
  <si>
    <t xml:space="preserve">ci e se ed in quanto compatibili con le vigenti norme di leg- </t>
  </si>
  <si>
    <t>ge in tema di società unipersonale.</t>
  </si>
  <si>
    <t xml:space="preserve">34.2 In ogni caso, se l'aumento di capitale è sottoscritto </t>
  </si>
  <si>
    <t xml:space="preserve">dall'unico socio, il conferimento in danaro deve essere inte- </t>
  </si>
  <si>
    <t xml:space="preserve">gralmente versato all'atto della sottoscrizione. Così se vie- </t>
  </si>
  <si>
    <t xml:space="preserve">ne meno durante la vita della società la pluralità dei soci, </t>
  </si>
  <si>
    <t xml:space="preserve">i versamenti ancora dovuti devono essere effettuati nei no- </t>
  </si>
  <si>
    <t xml:space="preserve">vanta giorni dal venire meno della pluralità dei soci. </t>
  </si>
  <si>
    <t xml:space="preserve">34.3 Così, quando l'intera partecipazione appartiene ad un </t>
  </si>
  <si>
    <t xml:space="preserve">solo socio o muta la persona del socio unico, gli amministra- </t>
  </si>
  <si>
    <t xml:space="preserve">tori devono depositare per l'iscrizione nel registro delle </t>
  </si>
  <si>
    <t xml:space="preserve">imprese una dichiarazione contenente l'indicazione del cogno- </t>
  </si>
  <si>
    <t xml:space="preserve">me e del nome o della denominazione, della data e del luogo </t>
  </si>
  <si>
    <t xml:space="preserve">di nascita o di costituzione, del domicilio o della sede e </t>
  </si>
  <si>
    <t xml:space="preserve">cittadinanza dell'unico socio. Quando si costituisce o rico- </t>
  </si>
  <si>
    <t xml:space="preserve">stituisce la pluralità dei soci, gli amministratori ne devono </t>
  </si>
  <si>
    <t xml:space="preserve">depositare apposita dichiarazione per l'iscrizione nel regi- </t>
  </si>
  <si>
    <t xml:space="preserve">stro delle imprese. L'unico socio o colui che cessa di essere </t>
  </si>
  <si>
    <t xml:space="preserve">tale può provvedere alla pubblicità sopra prevista. La di- </t>
  </si>
  <si>
    <t xml:space="preserve">chiarazione degli amministratori innanzi prevista deve essere </t>
  </si>
  <si>
    <t xml:space="preserve">depositata entro trenta giorni dall'iscrizione nel libro dei </t>
  </si>
  <si>
    <t>soci e deve indicare la data di tale iscrizione.</t>
  </si>
  <si>
    <t xml:space="preserve">34.4 I contratti della società con l'unico socio e le opera- </t>
  </si>
  <si>
    <t xml:space="preserve">zioni a favore dell'unico socio sono opponibili ai creditori </t>
  </si>
  <si>
    <t xml:space="preserve">della società solo se risultano dal libro delle decisioni de- </t>
  </si>
  <si>
    <t xml:space="preserve">gli amministratori o da atto scritto avente data certa ante- </t>
  </si>
  <si>
    <t>riore al pignoramento.</t>
  </si>
  <si>
    <t xml:space="preserve">34.5 Negli atti e nella corrispondenza della società deve es- </t>
  </si>
  <si>
    <t xml:space="preserve">sere indicato se questa ha un unico socio. </t>
  </si>
  <si>
    <t xml:space="preserve">34.6 Per tutto quanto non previsto nel presente statuto per </t>
  </si>
  <si>
    <t xml:space="preserve">il caso che le quote sociali appartengano ad un unico socio, </t>
  </si>
  <si>
    <t xml:space="preserve">si rinvia alla normativa vigente in materia. </t>
  </si>
  <si>
    <t>---------------------------------------- CHUNK 151 ----------------------------------------</t>
  </si>
  <si>
    <t xml:space="preserve">ARTICOLO 35 </t>
  </si>
  <si>
    <t xml:space="preserve">35.1 Per quanto non previsto nel presente Statuto valgono le </t>
  </si>
  <si>
    <t xml:space="preserve">norme di legge in materia di società a responsabilità limita- </t>
  </si>
  <si>
    <t xml:space="preserve">ta e ove queste non dispongano in merito, le norme di legge </t>
  </si>
  <si>
    <t>in materia di società per azioni.</t>
  </si>
  <si>
    <t>Fisciano, ventotto dicembre duemilaventitre.</t>
  </si>
  <si>
    <t xml:space="preserve">- F.ti: Romeo Ubaldo - Simone Romeo - Alessandro Romeo - An- </t>
  </si>
  <si>
    <t xml:space="preserve">tonio Romeo - Filippo Ansalone notaio (sigillo) </t>
  </si>
  <si>
    <t xml:space="preserve">- La presente copia, realizzata con sistema elettronico, è </t>
  </si>
  <si>
    <t>conforme al suo originale e si rilascia per uso consentito.</t>
  </si>
  <si>
    <t>- Fisciano,</t>
  </si>
  <si>
    <t xml:space="preserve">Copia su supporto informatico conforme al documento origina- </t>
  </si>
  <si>
    <t xml:space="preserve">le formato su supporto cartaceo, ai sensi dell’art. 22 del </t>
  </si>
  <si>
    <t xml:space="preserve">D.Lgs. 82/2005, che si trasmette ad uso Registro Imprese. - </t>
  </si>
  <si>
    <t xml:space="preserve">Imposta di bollo assolta in modo virtuale tramite il versa- </t>
  </si>
  <si>
    <t xml:space="preserve">mento dell'imposta sul modello unico. </t>
  </si>
  <si>
    <t>"</t>
  </si>
  <si>
    <r>
      <t xml:space="preserve">                </t>
    </r>
    <r>
      <rPr>
        <sz val="9"/>
        <color rgb="FFA31515"/>
        <rFont val="Consolas"/>
        <family val="3"/>
      </rPr>
      <t>"spese_incluse"</t>
    </r>
    <r>
      <rPr>
        <sz val="9"/>
        <color rgb="FF3B3B3B"/>
        <rFont val="Consolas"/>
        <family val="3"/>
      </rPr>
      <t xml:space="preserve">: </t>
    </r>
    <r>
      <rPr>
        <sz val="9"/>
        <color rgb="FFA31515"/>
        <rFont val="Consolas"/>
        <family val="3"/>
      </rPr>
      <t>"spesa per l'indennità annuale o proporzionale a servizio"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</si>
  <si>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"Sì, come stabilito dall'articolo 14.2 del statuto sociale POLIAMBULATORIO 3D S.R.L."</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</si>
  <si>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"10.000,00"</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</si>
  <si>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t>
    </r>
  </si>
  <si>
    <r>
      <t xml:space="preserve">                </t>
    </r>
    <r>
      <rPr>
        <sz val="9"/>
        <color rgb="FFA31515"/>
        <rFont val="Consolas"/>
        <family val="3"/>
      </rPr>
      <t>"utili_residui"</t>
    </r>
    <r>
      <rPr>
        <sz val="9"/>
        <color rgb="FF3B3B3B"/>
        <rFont val="Consolas"/>
        <family val="3"/>
      </rPr>
      <t xml:space="preserve">: </t>
    </r>
    <r>
      <rPr>
        <sz val="9"/>
        <color rgb="FFA31515"/>
        <rFont val="Consolas"/>
        <family val="3"/>
      </rPr>
      <t>"Ripartizione tra i soci in misura proporzionale alla partecipazione di ciascuno posseduta, salvo diversa decisione dei soci."</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</si>
  <si>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 loro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</si>
  <si>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"da determinarsi con decisione valida fino a modifica"</t>
    </r>
  </si>
  <si>
    <r>
      <t xml:space="preserve">                </t>
    </r>
    <r>
      <rPr>
        <sz val="9"/>
        <color rgb="FFA31515"/>
        <rFont val="Consolas"/>
        <family val="3"/>
      </rPr>
      <t>"utili_residui"</t>
    </r>
    <r>
      <rPr>
        <sz val="9"/>
        <color rgb="FF3B3B3B"/>
        <rFont val="Consolas"/>
        <family val="3"/>
      </rPr>
      <t xml:space="preserve">: </t>
    </r>
    <r>
      <rPr>
        <sz val="9"/>
        <color rgb="FFA31515"/>
        <rFont val="Consolas"/>
        <family val="3"/>
      </rPr>
      <t>""</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</si>
  <si>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so-stenate per ragioni del loro ufficio, quelle stimate per ragioni del loro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</si>
  <si>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"proporzionale agli utili netti di esercizio, stabilita all'atto della nomina o successivamente in misura proporzionale agli utili netti di esercizio"</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</si>
  <si>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 "</t>
    </r>
  </si>
  <si>
    <r>
      <t xml:space="preserve">                </t>
    </r>
    <r>
      <rPr>
        <sz val="9"/>
        <color rgb="FFA31515"/>
        <rFont val="Consolas"/>
        <family val="3"/>
      </rPr>
      <t>"utili_residui"</t>
    </r>
    <r>
      <rPr>
        <sz val="9"/>
        <color rgb="FF3B3B3B"/>
        <rFont val="Consolas"/>
        <family val="3"/>
      </rPr>
      <t xml:space="preserve">: </t>
    </r>
    <r>
      <rPr>
        <sz val="9"/>
        <color rgb="FFA31515"/>
        <rFont val="Consolas"/>
        <family val="3"/>
      </rPr>
      <t>"Destinati alla riserva legale fino a raggiungere il quinto del capitale sociale"</t>
    </r>
  </si>
  <si>
    <r>
      <t xml:space="preserve">                </t>
    </r>
    <r>
      <rPr>
        <sz val="9"/>
        <color rgb="FFA31515"/>
        <rFont val="Consolas"/>
        <family val="3"/>
      </rPr>
      <t>"Rimborso"</t>
    </r>
    <r>
      <rPr>
        <sz val="9"/>
        <color rgb="FF3B3B3B"/>
        <rFont val="Consolas"/>
        <family val="3"/>
      </rPr>
      <t>: [</t>
    </r>
    <r>
      <rPr>
        <sz val="9"/>
        <color rgb="FF098658"/>
        <rFont val="Consolas"/>
        <family val="3"/>
      </rPr>
      <t>9</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40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</si>
  <si>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22</t>
    </r>
    <r>
      <rPr>
        <sz val="9"/>
        <color rgb="FF3B3B3B"/>
        <rFont val="Consolas"/>
        <family val="3"/>
      </rPr>
      <t xml:space="preserve">, </t>
    </r>
    <r>
      <rPr>
        <sz val="9"/>
        <color rgb="FF098658"/>
        <rFont val="Consolas"/>
        <family val="3"/>
      </rPr>
      <t>12</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</si>
  <si>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21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</si>
  <si>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</si>
  <si>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</si>
  <si>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</si>
  <si>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</si>
  <si>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</si>
  <si>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</si>
  <si>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</si>
  <si>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</si>
  <si>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</si>
  <si>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</si>
  <si>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</si>
  <si>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</si>
  <si>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</si>
  <si>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</si>
  <si>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</si>
  <si>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55</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</si>
  <si>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</si>
  <si>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</si>
  <si>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</si>
  <si>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</si>
  <si>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</si>
  <si>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</si>
  <si>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</si>
  <si>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</si>
  <si>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</si>
  <si>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68</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51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</si>
  <si>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72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</si>
  <si>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</si>
  <si>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</si>
  <si>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</si>
  <si>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</si>
  <si>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</si>
  <si>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41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</si>
  <si>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</si>
  <si>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90</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</si>
  <si>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96</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</si>
  <si>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</si>
  <si>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</si>
  <si>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</si>
  <si>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</si>
  <si>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</si>
  <si>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</si>
  <si>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101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</si>
  <si>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</si>
  <si>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</si>
  <si>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</si>
  <si>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</si>
  <si>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101</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</si>
  <si>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</si>
  <si>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</si>
  <si>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</si>
  <si>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117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122</t>
    </r>
    <r>
      <rPr>
        <sz val="9"/>
        <color rgb="FF3B3B3B"/>
        <rFont val="Consolas"/>
        <family val="3"/>
      </rPr>
      <t xml:space="preserve">, </t>
    </r>
    <r>
      <rPr>
        <sz val="9"/>
        <color rgb="FF098658"/>
        <rFont val="Consolas"/>
        <family val="3"/>
      </rPr>
      <t>123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</si>
  <si>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 xml:space="preserve">, </t>
    </r>
    <r>
      <rPr>
        <sz val="9"/>
        <color rgb="FF098658"/>
        <rFont val="Consolas"/>
        <family val="3"/>
      </rPr>
      <t>136</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140</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138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</si>
  <si>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</si>
  <si>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</si>
  <si>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</si>
  <si>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</si>
  <si>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</si>
  <si>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115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116</t>
    </r>
    <r>
      <rPr>
        <sz val="9"/>
        <color rgb="FF3B3B3B"/>
        <rFont val="Consolas"/>
        <family val="3"/>
      </rPr>
      <t xml:space="preserve">, </t>
    </r>
    <r>
      <rPr>
        <sz val="9"/>
        <color rgb="FF098658"/>
        <rFont val="Consolas"/>
        <family val="3"/>
      </rPr>
      <t>113</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</si>
  <si>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126</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</si>
  <si>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</si>
  <si>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123</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146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</si>
  <si>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</si>
  <si>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</si>
  <si>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</si>
  <si>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</si>
  <si>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147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</si>
  <si>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150</t>
    </r>
    <r>
      <rPr>
        <sz val="9"/>
        <color rgb="FF3B3B3B"/>
        <rFont val="Consolas"/>
        <family val="3"/>
      </rPr>
      <t xml:space="preserve">, </t>
    </r>
    <r>
      <rPr>
        <sz val="9"/>
        <color rgb="FF098658"/>
        <rFont val="Consolas"/>
        <family val="3"/>
      </rPr>
      <t>113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</si>
  <si>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114</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</si>
  <si>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</si>
  <si>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amministratori spettano il rimborso delle spese sostenute per ragioni del loro ufficio, inclusa la spesa per l'indennità annuale o proporzionale a servizio."</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</si>
  <si>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</si>
  <si>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"Sì, i soci possono assegnare un compenso agli amministratori, come stabilito dall'articolo 14.2 del statuto sociale </t>
    </r>
    <r>
      <rPr>
        <sz val="9"/>
        <color rgb="FFEE0000"/>
        <rFont val="Consolas"/>
        <family val="3"/>
      </rPr>
      <t>\"</t>
    </r>
    <r>
      <rPr>
        <sz val="9"/>
        <color rgb="FFA31515"/>
        <rFont val="Consolas"/>
        <family val="3"/>
      </rPr>
      <t>POLIAMBULATORIO 3D S.R.L.</t>
    </r>
    <r>
      <rPr>
        <sz val="9"/>
        <color rgb="FFEE0000"/>
        <rFont val="Consolas"/>
        <family val="3"/>
      </rPr>
      <t>\"</t>
    </r>
    <r>
      <rPr>
        <sz val="9"/>
        <color rgb="FFA31515"/>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</si>
  <si>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</si>
  <si>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 come previsto dall'articolo 14.2 del statuto sociale POLIAMBULATORIO 3D S.R.L."</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</si>
  <si>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</si>
  <si>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"Non ho trovato la risposta nei documenti forniti."</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</si>
  <si>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</si>
  <si>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"Euro 10.000,00."</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</si>
  <si>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</si>
  <si>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"Entro centottanta giorni dalla chiusura dell'esercizio sociale. In presenza di particolari esigenze, il termine è prorogato a centotrenta giorni. La società si chiama </t>
    </r>
    <r>
      <rPr>
        <sz val="9"/>
        <color rgb="FFEE0000"/>
        <rFont val="Consolas"/>
        <family val="3"/>
      </rPr>
      <t>\"</t>
    </r>
    <r>
      <rPr>
        <sz val="9"/>
        <color rgb="FFA31515"/>
        <rFont val="Consolas"/>
        <family val="3"/>
      </rPr>
      <t>POLIAMBULATORIO 3D S.R.L.</t>
    </r>
    <r>
      <rPr>
        <sz val="9"/>
        <color rgb="FFEE0000"/>
        <rFont val="Consolas"/>
        <family val="3"/>
      </rPr>
      <t>\"</t>
    </r>
    <r>
      <rPr>
        <sz val="9"/>
        <color rgb="FFA31515"/>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</si>
  <si>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</si>
  <si>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</si>
  <si>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ripartiti tra i soci in misura proporzionale alla partecipazione di ciascuno posseduta, salvo diversa decisione dei soci."</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</si>
  <si>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</si>
  <si>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Poliambulatorio 3D S.R.L. è stabilita fino al 31 dicembre 2060."</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</si>
  <si>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</si>
  <si>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</si>
  <si>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ma tale delibera deve essere assunta con voto unanime."</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</si>
  <si>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</si>
  <si>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</si>
  <si>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</si>
  <si>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"Il capitale sociale della società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 xml:space="preserve"> è di Euro 30.000,00 (trentamila virgola zero zero)."</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</si>
  <si>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</si>
  <si>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</si>
  <si>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 data di chiusura dell'esercizio sociale è il 31 dicembre. La società si chiama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</si>
  <si>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</si>
  <si>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"Secondo l'art. 21.2 dello Statuto, gli utili residui non prodotti e i disavanzi saranno ristornati ai soci secondo quanto deliberato dall'Assemblea."</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</si>
  <si>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</si>
  <si>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 durata della società Consortile è stabilita fino al 31 dicembre 2032. La società si chiama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</si>
  <si>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</si>
  <si>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amministratori dell'UNICA SOCIETÀ BENEFIT A R.L. spettano il rimborso delle spese sostenute per ragioni del loro ufficio."</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</si>
  <si>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</si>
  <si>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Il compenso è da determinarsi con decisione valida fino a modifica."</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</si>
  <si>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</si>
  <si>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deliberare l'accantonamento per il relativo fondo di quiescenza degli amministratori in caso di cessazione della carica."</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</si>
  <si>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</si>
  <si>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</si>
  <si>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"Il capitale sociale della società </t>
    </r>
    <r>
      <rPr>
        <sz val="9"/>
        <color rgb="FFEE0000"/>
        <rFont val="Consolas"/>
        <family val="3"/>
      </rPr>
      <t>\"</t>
    </r>
    <r>
      <rPr>
        <sz val="9"/>
        <color rgb="FFA31515"/>
        <rFont val="Consolas"/>
        <family val="3"/>
      </rPr>
      <t>UNICA SOCIETÀ BENEFIT A R.L.</t>
    </r>
    <r>
      <rPr>
        <sz val="9"/>
        <color rgb="FFEE0000"/>
        <rFont val="Consolas"/>
        <family val="3"/>
      </rPr>
      <t>\"</t>
    </r>
    <r>
      <rPr>
        <sz val="9"/>
        <color rgb="FFA31515"/>
        <rFont val="Consolas"/>
        <family val="3"/>
      </rPr>
      <t xml:space="preserve"> è di euro 12.000,00 (dodicimila virgola zero zero)."</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</si>
  <si>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</si>
  <si>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</si>
  <si>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 data di chiusura dell'esercizio sociale è il 31 dicembre. La società si chiama </t>
    </r>
    <r>
      <rPr>
        <sz val="9"/>
        <color rgb="FFEE0000"/>
        <rFont val="Consolas"/>
        <family val="3"/>
      </rPr>
      <t>\"</t>
    </r>
    <r>
      <rPr>
        <sz val="9"/>
        <color rgb="FFA31515"/>
        <rFont val="Consolas"/>
        <family val="3"/>
      </rPr>
      <t>UNICA SOCIETÀ BENEFIT A R.L.</t>
    </r>
    <r>
      <rPr>
        <sz val="9"/>
        <color rgb="FFEE0000"/>
        <rFont val="Consolas"/>
        <family val="3"/>
      </rPr>
      <t>\"</t>
    </r>
    <r>
      <rPr>
        <sz val="9"/>
        <color rgb="FFA31515"/>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</si>
  <si>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</si>
  <si>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</si>
  <si>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31 dicembre 2080."</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</si>
  <si>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</si>
  <si>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"Sì, agli amministratori spetta il rimborso delle spese so- </t>
    </r>
    <r>
      <rPr>
        <sz val="9"/>
        <color rgb="FFEE0000"/>
        <rFont val="Consolas"/>
        <family val="3"/>
      </rPr>
      <t>\n</t>
    </r>
    <r>
      <rPr>
        <sz val="9"/>
        <color rgb="FFA31515"/>
        <rFont val="Consolas"/>
        <family val="3"/>
      </rPr>
      <t>stenate per ragioni del loro ufficio. Le spese includono quelle stimate per ragioni del loro ufficio."</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</si>
  <si>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</si>
  <si>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è stabilita all'atto della nomina o successivamente in misura proporzionale agli utili netti di esercizio."</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</si>
  <si>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</si>
  <si>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 nei limiti e con le modalità previste dalla vigente normativa in materia."</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</si>
  <si>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</si>
  <si>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"5%"</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</si>
  <si>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</si>
  <si>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</si>
  <si>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bilancio deve essere approvato entro centoventi giorni dalla chiusura dell'esercizio sociale. In presenza di particolari esigenze, il termine è prorogato a centotrenta giorni."</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</si>
  <si>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</si>
  <si>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"30.1 Gli esercizi sociali si chiudono al 31 dicembre di ogni anno."</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</si>
  <si>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</si>
  <si>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destinati alla riserva legale fino a raggiungere il quinto del capitale sociale."</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</si>
  <si>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</si>
  <si>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 durata della società </t>
    </r>
    <r>
      <rPr>
        <sz val="9"/>
        <color rgb="FFEE0000"/>
        <rFont val="Consolas"/>
        <family val="3"/>
      </rPr>
      <t>\"</t>
    </r>
    <r>
      <rPr>
        <sz val="9"/>
        <color rgb="FFA31515"/>
        <rFont val="Consolas"/>
        <family val="3"/>
      </rPr>
      <t>SECUR SYSTEM GROUP DI ROMEO s.r.l.</t>
    </r>
    <r>
      <rPr>
        <sz val="9"/>
        <color rgb="FFEE0000"/>
        <rFont val="Consolas"/>
        <family val="3"/>
      </rPr>
      <t>\"</t>
    </r>
    <r>
      <rPr>
        <sz val="9"/>
        <color rgb="FFA31515"/>
        <rFont val="Consolas"/>
        <family val="3"/>
      </rPr>
      <t xml:space="preserve"> è stabilita fino al trentuno dicembre duemilasei- cento sessanta (31 dicembre 2060)."</t>
    </r>
  </si>
  <si>
    <r>
      <t xml:space="preserve">                </t>
    </r>
    <r>
      <rPr>
        <sz val="9"/>
        <color rgb="FFA31515"/>
        <rFont val="Consolas"/>
        <family val="3"/>
      </rPr>
      <t>"analyze_query"</t>
    </r>
    <r>
      <rPr>
        <sz val="9"/>
        <color rgb="FF3B3B3B"/>
        <rFont val="Consolas"/>
        <family val="3"/>
      </rPr>
      <t xml:space="preserve">: </t>
    </r>
    <r>
      <rPr>
        <sz val="9"/>
        <color rgb="FFA31515"/>
        <rFont val="Consolas"/>
        <family val="3"/>
      </rPr>
      <t>"16.870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</si>
  <si>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"0.215 s"</t>
    </r>
    <r>
      <rPr>
        <sz val="9"/>
        <color rgb="FF3B3B3B"/>
        <rFont val="Consolas"/>
        <family val="3"/>
      </rPr>
      <t>,</t>
    </r>
  </si>
  <si>
    <r>
      <t xml:space="preserve">                </t>
    </r>
    <r>
      <rPr>
        <sz val="9"/>
        <color rgb="FFA31515"/>
        <rFont val="Consolas"/>
        <family val="3"/>
      </rPr>
      <t>"pruning"</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</si>
  <si>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"35.837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</si>
  <si>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"14.597 s"</t>
    </r>
    <r>
      <rPr>
        <sz val="9"/>
        <color rgb="FF3B3B3B"/>
        <rFont val="Consolas"/>
        <family val="3"/>
      </rPr>
      <t>,</t>
    </r>
  </si>
  <si>
    <r>
      <t xml:space="preserve">                </t>
    </r>
    <r>
      <rPr>
        <sz val="9"/>
        <color rgb="FFA31515"/>
        <rFont val="Consolas"/>
        <family val="3"/>
      </rPr>
      <t>"faster_retrieve_and_rerank"</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</si>
  <si>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"100.9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</si>
  <si>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"33.260 s"</t>
    </r>
  </si>
  <si>
    <t>            BilanciUtili: 0.833</t>
  </si>
  <si>
    <t>        Avg. Group accuracy:  0.667</t>
  </si>
  <si>
    <t>    Avg. Company accuracy:  0.688</t>
  </si>
  <si>
    <t>        CompensoAmministratori: 0.800</t>
  </si>
  <si>
    <t>        BilanciUtili: 0.542</t>
  </si>
  <si>
    <t>RUN TIME:</t>
  </si>
  <si>
    <t>        Avg. Group Runtime:  100.9</t>
  </si>
  <si>
    <t>        Per Group Runtime:</t>
  </si>
  <si>
    <t xml:space="preserve">Overall Runtime: </t>
  </si>
  <si>
    <t>    Avg. Company Runtime:  100.900 s</t>
  </si>
  <si>
    <t>    Avg. per Group Runtimes:</t>
  </si>
  <si>
    <t>        CompensoAmministratori: 100.900 s</t>
  </si>
  <si>
    <t>        BilanciUtili: 100.900 s</t>
  </si>
  <si>
    <t>        InfoGenerali: 100.900 s</t>
  </si>
  <si>
    <t>            CompensoAmministratori: 100.900 s</t>
  </si>
  <si>
    <t>            BilanciUtili: 100.900 s</t>
  </si>
  <si>
    <t>            InfoGenerali: 100.900 s</t>
  </si>
  <si>
    <t>Raw Data</t>
  </si>
  <si>
    <r>
      <rPr>
        <b/>
        <sz val="11"/>
        <color theme="1"/>
        <rFont val="Calibri"/>
        <family val="2"/>
        <scheme val="minor"/>
      </rPr>
      <t xml:space="preserve">TEST 3: </t>
    </r>
    <r>
      <rPr>
        <sz val="11"/>
        <color theme="1"/>
        <rFont val="Calibri"/>
        <family val="2"/>
        <scheme val="minor"/>
      </rPr>
      <t>Semantic Chunking</t>
    </r>
  </si>
  <si>
    <t>denominata "POLIAMBULATORIO 3D S.R.L.". Articolo 2 - Oggetto</t>
  </si>
  <si>
    <t xml:space="preserve">siano in possesso dei titoli accademici e professionali. </t>
  </si>
  <si>
    <t xml:space="preserve">di cui all'articolo 2361 del Codice Civile. </t>
  </si>
  <si>
    <t>dell’oggetto sociale. Articolo 3 - Sede</t>
  </si>
  <si>
    <t>filiali ovunque lo ritenga opportuno. Articolo 4 - Durata</t>
  </si>
  <si>
    <t>2060, salvo proroga o scioglimento anticipato. Articolo 5 - Capitale</t>
  </si>
  <si>
    <t>il diritto di recesso a norma dell'articolo 2473 c.c. 5.3 Esso potrà essere aumentato anche mediante conferimenti</t>
  </si>
  <si>
    <t>limiti stabiliti dalla legge. La d elibera d i a umento d el c apitale d eve s tabilire l e</t>
  </si>
  <si>
    <t>indicazione il conferimento deve farsi in denaro. -------THIS IS A CUSTOM END OF PAGE-------</t>
  </si>
  <si>
    <t>previsione dell'assemblea ivi indicata. 5.5 Gli eventuali finanziamenti fatti alla società dai soci</t>
  </si>
  <si>
    <t>del 12.12.1994 della Banca d'Italia. Articolo 6 - Trasferimento partecipazioni per atto tra vivi</t>
  </si>
  <si>
    <t xml:space="preserve">più ampia accezione del termine qualunque sia la causa. </t>
  </si>
  <si>
    <t>In</t>
  </si>
  <si>
    <t>Tribunale del Circondario ove ha sede la società. 6.1.2 E' riconosciuto ai soci il diritto di prelazione sulle</t>
  </si>
  <si>
    <t xml:space="preserve">eventualmente i noptate. </t>
  </si>
  <si>
    <t>P er r endere p ossibile l 'esercizio</t>
  </si>
  <si>
    <t>proposta formulata da terzi. Al f ine d i r endere p ossibile l 'esercizio d i t ale d iritto,</t>
  </si>
  <si>
    <t xml:space="preserve">nominativo dell'acquirente. </t>
  </si>
  <si>
    <t>quindici giorni da tale data. 6.1.3 N ell'ipotesi d i t rasferimento e seguito s enza</t>
  </si>
  <si>
    <t>caso di costituzione di pegno od usufrutto. 6.3 Le quote sono trasferibili liberamente solo nei seguenti</t>
  </si>
  <si>
    <t>conseguente azione al riguardo. Se si procederà alla liquidazione della quota e degli utili</t>
  </si>
  <si>
    <t>restanti due terzi entro i d ue anni successivi al decesso. La l iquidazione d ella q uota d ovrà e ssere e ffettuata s ulla</t>
  </si>
  <si>
    <t xml:space="preserve">decesso. </t>
  </si>
  <si>
    <t>T ale c lausola, c he h a c arattere e ssenziale e d</t>
  </si>
  <si>
    <t>i soci superstiti e gli eredi del socio defunto. Articolo 8 - Recesso</t>
  </si>
  <si>
    <t>Hanno diritto di recedere i soci ai sensi dell'art.2473 c.c. Se si procederà alla liquidazione della quota e degli utili</t>
  </si>
  <si>
    <t>in materia. -------THIS IS A CUSTOM END OF PAGE-------</t>
  </si>
  <si>
    <t>consiglio di amministrazione. 9.2 Gli amministratori possono essere anche non soci. 9.3 N on s i a pplica a gli a mministratori i l d ivieto d i</t>
  </si>
  <si>
    <t>della nomina. 10.2 Gli amministratori sono rieleggibili. 10.3.1 L a c essazione d egli a mministratori p er s cadenza d el</t>
  </si>
  <si>
    <t>amministrativo è stato ricostituito. 10.3.2 S alvo q uanto p revisto a l s uccessivo c omma, s e n el</t>
  </si>
  <si>
    <t>prossima assemblea. 10.3.3 Nel caso di nomina del consiglio di amministrazione,</t>
  </si>
  <si>
    <t>caso di numero dispari, si applica l'articolo 2386 c.c. Articolo 11 - Consiglio di amministrazione e adunanze</t>
  </si>
  <si>
    <t xml:space="preserve">suoi membri un presidente. </t>
  </si>
  <si>
    <t>collegiale. 11.3 I n q uesto c aso i l p residente c onvoca i l c onsiglio d i</t>
  </si>
  <si>
    <t>adeguatamente informati sulle materie da trattare. 11.4 La convocazione avviene mediante avviso spedito a tutti</t>
  </si>
  <si>
    <t>dell'adunanza e, in caso di urgenza, almeno due giorni prima. Nell'avviso vengono fissati la data, il luogo e l'ora della</t>
  </si>
  <si>
    <t>riunione, nonchè l'ordine del giorno. 11.5 Il consiglio si raduna presso la sede sociale o a nche</t>
  </si>
  <si>
    <t>altrove, purchè in Italia. 11.6 Le adunanze del consiglio e le sue deliberazioni sono</t>
  </si>
  <si>
    <t xml:space="preserve">effettivi se nominati. </t>
  </si>
  <si>
    <t>carica. 11.8 Delle deliberazioni della seduta si redigerà un verbale</t>
  </si>
  <si>
    <t>le garanzie previste in materia di assemblea. Articolo 12 - Poteri dell'organo amministrativo</t>
  </si>
  <si>
    <t>riserva all'assemblea dei soci in forma inderogabile. 12.2 N el c aso d i n omina d el c onsiglio d i a mministrazione,</t>
  </si>
  <si>
    <t xml:space="preserve">disgiuntamente. </t>
  </si>
  <si>
    <t>In questo caso si applicano le disposizioni</t>
  </si>
  <si>
    <t>indicate nell'articolo 2475, comma quinto c.c. 12.3 Nel caso di consiglio di amministrazione formato da due</t>
  </si>
  <si>
    <t>dei soci la nomina di un nuovo organo amministrativo. 12.4 N el c aso d i n omina d i p iù a mministratori, a l m omento</t>
  </si>
  <si>
    <t>essere attribuiti in via disgiunta e altri in via congiunta. In m ancanza d i q ualsiasi p recisazione n ell'atto d i n omina,</t>
  </si>
  <si>
    <t xml:space="preserve">amministratori congiuntamente. </t>
  </si>
  <si>
    <t>evitare un danno alla società. 12.5 Possono e ssere n ominati d irettori, i nstitori o</t>
  </si>
  <si>
    <t>categorie di atti, determinandone i poteri. 12.6 Qualora l'amministrazione sia affidata disgiuntamente a</t>
  </si>
  <si>
    <t>competenti a decidere sull'opposizione sono i soci. Articolo 13 - Rappresentanza</t>
  </si>
  <si>
    <t>società. 13.2 In caso di nomina del consiglio di amministrazione, la</t>
  </si>
  <si>
    <t>delegati anche per singoli atti, se nominati. 13.3 Nel c aso d i n omina d i p iù a mministratori, l a</t>
  </si>
  <si>
    <t xml:space="preserve">amministrazione. </t>
  </si>
  <si>
    <t>poteri loro conferiti nell'atto di nomina. -------THIS IS A CUSTOM END OF PAGE-------</t>
  </si>
  <si>
    <t>sostenute per ragioni del loro ufficio. 14.2 I s oci p ossono i noltre a ssegnare a gli a mministratori</t>
  </si>
  <si>
    <t>consiglio di amministrazione al momento della nomina. Articolo 15 - Organo di controllo</t>
  </si>
  <si>
    <t xml:space="preserve">obbligatoria nei casi previsti dalla legge. </t>
  </si>
  <si>
    <t>supplenti. 15.2 N el c aso d i n omina d i u n o rgano d i c ontrollo, a nche</t>
  </si>
  <si>
    <t>delle imprese. 16.3 Salvo q uanto p revisto a l p rimo c omma d el s uccessivo</t>
  </si>
  <si>
    <t>consultazione scritta dei soci. Possono p artecipare a l p rocedimento d i d ecisione t utti i</t>
  </si>
  <si>
    <t>ricevimento. Entro i l t ermine d i g iorni q uindici d al r icevimento d ella</t>
  </si>
  <si>
    <t xml:space="preserve">intercorrere un periodo superiore ad otto giorni. </t>
  </si>
  <si>
    <t>Imprese. 16.4 Le decisioni che per legge ovvero in forza del presente</t>
  </si>
  <si>
    <t xml:space="preserve">espresso per iscritto dai soci. </t>
  </si>
  <si>
    <t>articolo 16.3. -------THIS IS A CUSTOM END OF PAGE-------</t>
  </si>
  <si>
    <t>ciascun socio. Ai f ini d el p resente c omma, l 'organo a mministrativo s i</t>
  </si>
  <si>
    <t>richiesta di verbalizzazione del relativo esito. Articolo 17 - Diritto di voto</t>
  </si>
  <si>
    <t xml:space="preserve">le vigenti disposizioni di legge. </t>
  </si>
  <si>
    <t>partecipazione. Articolo 18 - Assemblea</t>
  </si>
  <si>
    <t>modi di legge. L'assemblea d eve e ssere c onvocata a lmeno u na v olta l 'anno</t>
  </si>
  <si>
    <t>per l'approvazione del bilancio. -------THIS IS A CUSTOM END OF PAGE-------</t>
  </si>
  <si>
    <t>registro imprese. Nell'avviso d i c onvocazione d evono e ssere i ndicati i l</t>
  </si>
  <si>
    <t xml:space="preserve">l'elenco delle materie da trattare. </t>
  </si>
  <si>
    <t>prima convocazione. 18.3 Anche i n m ancanza d i f ormale c onvocazione l 'assemblea</t>
  </si>
  <si>
    <t xml:space="preserve">presieduta dalla persona designata dagli intervenuti. </t>
  </si>
  <si>
    <t xml:space="preserve">in caso di sua verbalizzazione. </t>
  </si>
  <si>
    <t>videoconferenza. Articolo 20 - Deleghe</t>
  </si>
  <si>
    <t>limiti di subdelega. 20.2 Se la delega viene conferita per la singola assemblea</t>
  </si>
  <si>
    <t>ha effetto anche per la seconda convocazione. 20.3 E' ammessa anche una delega a valere per più assemblee,</t>
  </si>
  <si>
    <t>indipendentemente dal loro ordine del giorno. Articolo 21 - Quorum costitutivi e deliberativi</t>
  </si>
  <si>
    <t>moroso), si applica l'articolo 2368, comma 3 c.c. Articolo 22 - Bilancio e utili</t>
  </si>
  <si>
    <t>dicembre di ogni anno. 22.2 Il b ilancio d eve e ssere a pprovato e ntro c entoventi</t>
  </si>
  <si>
    <t>esigenze. 22.3 Qualora i l c apitale s ociale s ia f issato i n m isura</t>
  </si>
  <si>
    <t xml:space="preserve">capitale, l'ammontare di euro 10.000,00 (diecimila/00). </t>
  </si>
  <si>
    <t>c.c., 5° comma, in caso di diminuzione per qualsiasi ragione. Qualora i l c apitale s ociale s ia f issato i n m isura p ari o</t>
  </si>
  <si>
    <t>salvo diversa decisione dei soci. Articolo 23 - Scioglimento e liquidazione</t>
  </si>
  <si>
    <t>28/2010 e successive modifiche e/o integrazioni. Articolo 25 - Disposizioni di rinvio</t>
  </si>
  <si>
    <t xml:space="preserve">quanto compatibili. </t>
  </si>
  <si>
    <t>del 22/02/2007 mediante M.U.I. COPIA SU SUPPORTO INFORMATICO CONFORME ALL'ORIGINALE DEL DO-</t>
  </si>
  <si>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accantonati come riserva legale fino a quando la riserva non raggiunge l'ammontare del capitale."</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</si>
  <si>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"130"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</si>
  <si>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"120"</t>
    </r>
  </si>
  <si>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è 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</si>
  <si>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accantonati come riserva legale fino a quando la riserva non raggiunge l'ammontare del capitale."</t>
    </r>
  </si>
  <si>
    <r>
      <t xml:space="preserve">                </t>
    </r>
    <r>
      <rPr>
        <sz val="9"/>
        <color rgb="FFA31515"/>
        <rFont val="Consolas"/>
        <family val="3"/>
      </rPr>
      <t>"A"</t>
    </r>
    <r>
      <rPr>
        <sz val="9"/>
        <color rgb="FF3B3B3B"/>
        <rFont val="Consolas"/>
        <family val="3"/>
      </rPr>
      <t xml:space="preserve">: </t>
    </r>
    <r>
      <rPr>
        <sz val="9"/>
        <color rgb="FFA31515"/>
        <rFont val="Consolas"/>
        <family val="3"/>
      </rPr>
      <t>"Secondo l'art. 13 del statuto, gli utili residui vengono distribuiti solo se il bilancio è stato approvato con maggioranza semplice del capitale sociale. In caso di mancata approvazione, gli utili residui non sono distribuiti."</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</si>
  <si>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è stabilita all'atto della loro nomina o successivamente, in misura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</si>
  <si>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"Al 31 dicembre di ogni anno."</t>
    </r>
  </si>
  <si>
    <t>Note:</t>
  </si>
  <si>
    <t>        Avg. Group accuracy:  0.583</t>
  </si>
  <si>
    <t>        Avg. Group accuracy:  0.917</t>
  </si>
  <si>
    <t>            InfoGenerali: 0.000</t>
  </si>
  <si>
    <t>        InfoGenerali: 0.750</t>
  </si>
  <si>
    <r>
      <rPr>
        <b/>
        <sz val="11"/>
        <color theme="1"/>
        <rFont val="Calibri"/>
        <family val="2"/>
        <scheme val="minor"/>
      </rPr>
      <t xml:space="preserve">Ingestion: </t>
    </r>
    <r>
      <rPr>
        <sz val="11"/>
        <color theme="1"/>
        <rFont val="Calibri"/>
        <family val="2"/>
        <scheme val="minor"/>
      </rPr>
      <t>Chunking by semantic similarity using embedding model</t>
    </r>
  </si>
  <si>
    <r>
      <rPr>
        <b/>
        <sz val="11"/>
        <color theme="1"/>
        <rFont val="Calibri"/>
        <family val="2"/>
        <scheme val="minor"/>
      </rPr>
      <t xml:space="preserve">TEST 3: </t>
    </r>
    <r>
      <rPr>
        <sz val="11"/>
        <color theme="1"/>
        <rFont val="Calibri"/>
        <family val="2"/>
        <scheme val="minor"/>
      </rPr>
      <t>Semantic Chunking</t>
    </r>
  </si>
  <si>
    <t xml:space="preserve">aumenti d el c apitale p ossono e ssere a ttuati a nche m ediante </t>
  </si>
  <si>
    <t xml:space="preserve">esclusione d ovrà e ssere d eterminata, d i v olta i n v olta, </t>
  </si>
  <si>
    <t xml:space="preserve">l'osservanza d i quanto di seguito prescritto, l'acquirente, </t>
  </si>
  <si>
    <t xml:space="preserve">Articolo 7 - Morte del socio </t>
  </si>
  <si>
    <t xml:space="preserve">9.1 La società può essere amministrata, alternativamente, su </t>
  </si>
  <si>
    <t xml:space="preserve">11.7 Le deliberazioni del consiglio di amministrazione sono </t>
  </si>
  <si>
    <t xml:space="preserve">la e ventuale r evoca d i u no d egli a mministratori d elegati, </t>
  </si>
  <si>
    <t xml:space="preserve">rappresentanza d ella s ocietà s petta a l p residente d el </t>
  </si>
  <si>
    <t xml:space="preserve">registro imprese. </t>
  </si>
  <si>
    <t xml:space="preserve">di più amministratori con poteri disgiunti o congiunti). In </t>
  </si>
  <si>
    <t xml:space="preserve">alternativa i luoghi audio e o video collegati a cura della </t>
  </si>
  <si>
    <t xml:space="preserve">Articolo 25 - Disposizioni di rinvio </t>
  </si>
  <si>
    <r>
      <t xml:space="preserve">                </t>
    </r>
    <r>
      <rPr>
        <sz val="9"/>
        <color rgb="FFA31515"/>
        <rFont val="Consolas"/>
        <family val="3"/>
      </rPr>
      <t>"percentuale_utili"</t>
    </r>
    <r>
      <rPr>
        <sz val="9"/>
        <color rgb="FF3B3B3B"/>
        <rFont val="Consolas"/>
        <family val="3"/>
      </rPr>
      <t xml:space="preserve">: </t>
    </r>
    <r>
      <rPr>
        <sz val="9"/>
        <color rgb="FFA31515"/>
        <rFont val="Consolas"/>
        <family val="3"/>
      </rPr>
      <t>"5% (cinque per cento)"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</si>
  <si>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"12.000,00"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</si>
  <si>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2060"</t>
    </r>
  </si>
  <si>
    <r>
      <t xml:space="preserve">                </t>
    </r>
    <r>
      <rPr>
        <sz val="9"/>
        <color rgb="FFA31515"/>
        <rFont val="Consolas"/>
        <family val="3"/>
      </rPr>
      <t>"percentuale_utili"</t>
    </r>
    <r>
      <rPr>
        <sz val="9"/>
        <color rgb="FF3B3B3B"/>
        <rFont val="Consolas"/>
        <family val="3"/>
      </rPr>
      <t xml:space="preserve">: </t>
    </r>
    <r>
      <rPr>
        <sz val="9"/>
        <color rgb="FFA31515"/>
        <rFont val="Consolas"/>
        <family val="3"/>
      </rPr>
      <t>"Non ho trovato la risposta nei documenti forniti"</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</si>
  <si>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devono essere destinati alla riserva legale finchè questa non abbia raggiunto il quinto del capitale sociale."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</si>
  <si>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2032"</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</si>
  <si>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fissa o proporzionale agli utili netti di esercizio"</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</si>
  <si>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2080"</t>
    </r>
  </si>
  <si>
    <r>
      <t xml:space="preserve">                </t>
    </r>
    <r>
      <rPr>
        <sz val="9"/>
        <color rgb="FFA31515"/>
        <rFont val="Consolas"/>
        <family val="3"/>
      </rPr>
      <t>"Durata"</t>
    </r>
    <r>
      <rPr>
        <sz val="9"/>
        <color rgb="FF3B3B3B"/>
        <rFont val="Consolas"/>
        <family val="3"/>
      </rPr>
      <t>: [</t>
    </r>
    <r>
      <rPr>
        <sz val="9"/>
        <color rgb="FF098658"/>
        <rFont val="Consolas"/>
        <family val="3"/>
      </rPr>
      <t>22</t>
    </r>
    <r>
      <rPr>
        <sz val="9"/>
        <color rgb="FF3B3B3B"/>
        <rFont val="Consolas"/>
        <family val="3"/>
      </rPr>
      <t xml:space="preserve">, </t>
    </r>
    <r>
      <rPr>
        <sz val="9"/>
        <color rgb="FF098658"/>
        <rFont val="Consolas"/>
        <family val="3"/>
      </rPr>
      <t>24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</si>
  <si>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38</t>
    </r>
    <r>
      <rPr>
        <sz val="9"/>
        <color rgb="FF3B3B3B"/>
        <rFont val="Consolas"/>
        <family val="3"/>
      </rPr>
      <t>]</t>
    </r>
  </si>
  <si>
    <t>    "poliambulatorio 3d s.r.l.": {</t>
  </si>
  <si>
    <t>        "CompensoAmministratori": {</t>
  </si>
  <si>
    <t>            "Rimborso": {</t>
  </si>
  <si>
    <t>            "IndennitaAnnuale": {</t>
  </si>
  <si>
    <t>            "IndennitaCessazione": {</t>
  </si>
  <si>
    <t>        "BilanciUtili": {</t>
  </si>
  <si>
    <t>            "PercentualeRiservaLegale": {</t>
  </si>
  <si>
    <t>            "CapitaleSociale": {</t>
  </si>
  <si>
    <t>            "TermineApprovazioneBilancio": {</t>
  </si>
  <si>
    <t>            "DataChiusuraEsercizio": {</t>
  </si>
  <si>
    <t>            "UtiliResidui": {</t>
  </si>
  <si>
    <t>        "InfoGenerali": {</t>
  </si>
  <si>
    <t>            "Durata": {</t>
  </si>
  <si>
    <t>    "ospedale tortona società consortile a r.l.": {</t>
  </si>
  <si>
    <t>    "unica società benefit a r.l.": {</t>
  </si>
  <si>
    <t>    "secur system group di romeo s.r.l.": {</t>
  </si>
  <si>
    <r>
      <rPr>
        <b/>
        <sz val="11"/>
        <color theme="1"/>
        <rFont val="Calibri"/>
        <family val="2"/>
        <scheme val="minor"/>
      </rPr>
      <t xml:space="preserve">Ingestion: </t>
    </r>
    <r>
      <rPr>
        <sz val="11"/>
        <color theme="1"/>
        <rFont val="Calibri"/>
        <family val="2"/>
        <scheme val="minor"/>
      </rPr>
      <t xml:space="preserve">Fixed size chunking using Parent-Child chunks. </t>
    </r>
  </si>
  <si>
    <t>Parent chunk: {chunk_size=2000, overlap=400}</t>
  </si>
  <si>
    <t>Child chunk: {chunk_size=400, overlap=100}</t>
  </si>
  <si>
    <t>Notes:</t>
  </si>
  <si>
    <t>            CompensoAmministratori: 0.200</t>
  </si>
  <si>
    <t>                "spetta_rimborso": "Sì",</t>
  </si>
  <si>
    <t>                "spese_incluse": "spese sostenute per ragioni del loro ufficio"</t>
  </si>
  <si>
    <t>                "spetta_indennita_da_soci": "Sì",</t>
  </si>
  <si>
    <t>                "misura_indennita": "un'indennità annuale in misura fissa, ovvero un compenso proporzionale agli utili netti di esercizio"</t>
  </si>
  <si>
    <t>                "spetta_indennita": "Sì"</t>
  </si>
  <si>
    <t>                "percentuale_utili": "Se il capitale sociale è inferiore a 10.000 euro, si destinano al 1/5 degli utili netti fino a raggiungere i 10.000 euro. Se il capitale sociale è pari o superiore a 10.000 euro, si destina al 5% degli utili netti a riserva legale."</t>
  </si>
  <si>
    <t>                "capitale_sociale_euro": "euro 10.000,00 (diecimila/00) diviso in quote"</t>
  </si>
  <si>
    <t>                "termine_ordinario_giorni": "120",</t>
  </si>
  <si>
    <t>                "termine_prorogato_giorni": "180"</t>
  </si>
  <si>
    <t>                "data_chiusura_esercizio": "31 dicembre di ogni anno"</t>
  </si>
  <si>
    <t>                "utili_residui": "Gli utili residui verranno ripartiti tra i soci in misura proporzionale alla partecipazione da ciascuno posseduta, salvo diversa decisione dei soci."</t>
  </si>
  <si>
    <t>                "durata_dell_azienda": "31 dicembre 2060, salvo proroga o scioglimento anticipato."</t>
  </si>
  <si>
    <t>                "spetta_rimborso": "",</t>
  </si>
  <si>
    <t>                "spese_incluse": ""</t>
  </si>
  <si>
    <t>                "misura_indennita": "E’ nella esclusiva facoltà dell’Assemblea dei soci determinare compensi per i membri del Consiglio di Amministrazione, tale delibera stante la natura consortile della società deve essere assunta con voto unanime."</t>
  </si>
  <si>
    <t>                "spetta_indennita": ""</t>
  </si>
  <si>
    <t>                "percentuale_utili": ""</t>
  </si>
  <si>
    <t>                "capitale_sociale_euro": "euro 30.000,00 (trentamila virgola zero zero)"</t>
  </si>
  <si>
    <t>                "termine_ordinario_giorni": "180",</t>
  </si>
  <si>
    <t>                "termine_prorogato_giorni": "0"</t>
  </si>
  <si>
    <t>                "utili_residui": "Non produce utili. Le eventuali eccedenze di ricavi e contributi preventivamente acquisiti rispetto ai costi digestione saranno ristornati ai soci secondo quanto deliberato dall'Assemblea"</t>
  </si>
  <si>
    <t>                "durata_dell_azienda": "31 (trentuno) dicembre 2032 (duemilatrentadue). essa può essere prorogata, per il tempo necessario allo svolgimento delle operazioni e degli atti di qualsiasi natura dipendenti dall'esecuzione delle prestazioni "</t>
  </si>
  <si>
    <t>                "spese_incluse": "Agli Amministratori spea il rimborso delle spese sostenute per ragioni del loro ufficio."</t>
  </si>
  <si>
    <t>                "misura_indennita": "I soci possono inoltre assegnare agli amministratori un compenso da determinarsi con decisione valida fino a modifica"</t>
  </si>
  <si>
    <t>                "capitale_sociale_euro": " euro 12.000,00 (dodicimila virgola zero zero)"</t>
  </si>
  <si>
    <t>                "durata_dell_azienda": " 31 dicembre 2080 e potrà essere prorogata una o più volte con deliberazione dell’assemblea."</t>
  </si>
  <si>
    <t>                "misura_indennita": "I soci possono, inoltre, assegnare agli amministratori un compenso annuale in misura fissa stabilita all’atto della loro nomina o successivamente ovvero possono assegnare agli amministratori un compenso in misura proporzionale agli utili netti di esercizio."</t>
  </si>
  <si>
    <t>                "percentuale_utili": " Dagli utili netti risultanti dal bilancio deve essere dedotta una somma corrispondente al 5% (cinque per cento) da destinare alla riserva legale finchè questa non abbia raggiunto il quinto del capitale sociale."</t>
  </si>
  <si>
    <t>                "capitale_sociale_euro": "euro 15.000,00 (euro quindicimila)"</t>
  </si>
  <si>
    <t>                "durata_dell_azienda": "trentuno dicembre duemilasessanta (31 dicembre 2060)"</t>
  </si>
  <si>
    <r>
      <t>                "utili_residui": "</t>
    </r>
    <r>
      <rPr>
        <sz val="9"/>
        <color rgb="FFEE0000"/>
        <rFont val="Consolas"/>
        <family val="3"/>
      </rPr>
      <t>\n</t>
    </r>
    <r>
      <rPr>
        <sz val="9"/>
        <color rgb="FFA31515"/>
        <rFont val="Consolas"/>
        <family val="3"/>
      </rPr>
      <t xml:space="preserve">      L'utile netto di bilancio distribuibile è soltanto quello realmente conseguito e risultante dal bilancio regolarmente approvato. L'assemblea che approva il bilancio decide sulla distribuzione degli utili ai soci con maggioranza semplice del capitale sociale.</t>
    </r>
    <r>
      <rPr>
        <sz val="9"/>
        <color rgb="FFEE0000"/>
        <rFont val="Consolas"/>
        <family val="3"/>
      </rPr>
      <t>\n</t>
    </r>
    <r>
      <rPr>
        <sz val="9"/>
        <color rgb="FFA31515"/>
        <rFont val="Consolas"/>
        <family val="3"/>
      </rPr>
      <t xml:space="preserve">      "</t>
    </r>
  </si>
  <si>
    <r>
      <t>                "utili_residui": "</t>
    </r>
    <r>
      <rPr>
        <sz val="9"/>
        <color rgb="FFEE0000"/>
        <rFont val="Consolas"/>
        <family val="3"/>
      </rPr>
      <t>\n</t>
    </r>
    <r>
      <rPr>
        <sz val="9"/>
        <color rgb="FFA31515"/>
        <rFont val="Consolas"/>
        <family val="3"/>
      </rPr>
      <t xml:space="preserve">      La delibera dell'assemblea dei soci che approva il bilancio decide sulla distribuzione degli utili ai soci.</t>
    </r>
    <r>
      <rPr>
        <sz val="9"/>
        <color rgb="FFEE0000"/>
        <rFont val="Consolas"/>
        <family val="3"/>
      </rPr>
      <t>\n</t>
    </r>
    <r>
      <rPr>
        <sz val="9"/>
        <color rgb="FFA31515"/>
        <rFont val="Consolas"/>
        <family val="3"/>
      </rPr>
      <t xml:space="preserve">      "</t>
    </r>
  </si>
  <si>
    <t xml:space="preserve">"_x000D_
---------------------------------------- CHUNK 0 ----------------------------------------_x000D_
Azienda:  ospedale tortona società consortile a r.l. _x000D_
_x000D_
Chunk ID:  0 _x000D_
_x000D_
Allegato B_x000D_
Repertorio Numero 2771_x000D_
Raccolta Numero 1983_x000D_
S T A T U T O_x000D_
Allegato “A” al Rep.  N. 10711 di Racc. N. 7935    _x000D_
Statuto_x000D_
2. SEDE_x000D_
La società ha sede nel comune di Genova all’indirizzo iscrio nel registro delle imprese. _x000D_
_x000D_
_x000D_
---------------------------------------- CHUNK 1 ----------------------------------------_x000D_
Azienda:  poliambulatorio 3d s.r.l. _x000D_
_x000D_
Chunk ID:  1 _x000D_
_x000D_
STATUTO DELLA SOCIETA' A RESPONSABILITA' LIMITATA DENOMINATA_x000D_
POLIAMBULATORIO 3D S.R.L." </t>
  </si>
  <si>
    <t xml:space="preserve">Chunk ID:  2 </t>
  </si>
  <si>
    <t xml:space="preserve">Chunk ID:  3 </t>
  </si>
  <si>
    <t xml:space="preserve">Chunk ID:  4 </t>
  </si>
  <si>
    <t xml:space="preserve">Chunk ID:  5 </t>
  </si>
  <si>
    <t xml:space="preserve">Chunk ID:  6 </t>
  </si>
  <si>
    <t xml:space="preserve">Chunk ID:  7 </t>
  </si>
  <si>
    <t xml:space="preserve">Chunk ID:  8 </t>
  </si>
  <si>
    <t xml:space="preserve">Chunk ID:  9 </t>
  </si>
  <si>
    <t xml:space="preserve">Chunk ID:  10 </t>
  </si>
  <si>
    <t xml:space="preserve">Chunk ID:  11 </t>
  </si>
  <si>
    <t xml:space="preserve">Chunk ID:  12 </t>
  </si>
  <si>
    <t xml:space="preserve">Chunk ID:  13 </t>
  </si>
  <si>
    <t xml:space="preserve">Chunk ID:  14 </t>
  </si>
  <si>
    <t xml:space="preserve">Chunk ID:  15 </t>
  </si>
  <si>
    <t xml:space="preserve">Chunk ID:  16 </t>
  </si>
  <si>
    <t xml:space="preserve">Chunk ID:  17 </t>
  </si>
  <si>
    <t xml:space="preserve">Chunk ID:  18 </t>
  </si>
  <si>
    <t xml:space="preserve">Chunk ID:  19 </t>
  </si>
  <si>
    <t xml:space="preserve">Chunk ID:  20 </t>
  </si>
  <si>
    <t xml:space="preserve">Chunk ID:  21 </t>
  </si>
  <si>
    <t xml:space="preserve">Chunk ID:  22 </t>
  </si>
  <si>
    <t xml:space="preserve">Chunk ID:  23 </t>
  </si>
  <si>
    <t xml:space="preserve">Chunk ID:  24 </t>
  </si>
  <si>
    <t xml:space="preserve">Chunk ID:  25 </t>
  </si>
  <si>
    <t xml:space="preserve">Chunk ID:  26 </t>
  </si>
  <si>
    <t xml:space="preserve">Chunk ID:  27 </t>
  </si>
  <si>
    <t xml:space="preserve">Chunk ID:  28 </t>
  </si>
  <si>
    <t xml:space="preserve">Chunk ID:  29 </t>
  </si>
  <si>
    <t xml:space="preserve">Chunk ID:  30 </t>
  </si>
  <si>
    <t xml:space="preserve">Chunk ID:  31 </t>
  </si>
  <si>
    <t xml:space="preserve">Chunk ID:  32 </t>
  </si>
  <si>
    <t xml:space="preserve">Chunk ID:  33 </t>
  </si>
  <si>
    <t xml:space="preserve">Chunk ID:  34 </t>
  </si>
  <si>
    <t xml:space="preserve">Chunk ID:  35 </t>
  </si>
  <si>
    <t xml:space="preserve">Chunk ID:  36 </t>
  </si>
  <si>
    <t xml:space="preserve">Chunk ID:  37 </t>
  </si>
  <si>
    <t xml:space="preserve">Chunk ID:  38 </t>
  </si>
  <si>
    <t xml:space="preserve">Chunk ID:  39 </t>
  </si>
  <si>
    <t xml:space="preserve">Chunk ID:  40 </t>
  </si>
  <si>
    <t xml:space="preserve">Chunk ID:  41 </t>
  </si>
  <si>
    <t xml:space="preserve">Chunk ID:  42 </t>
  </si>
  <si>
    <t xml:space="preserve">Chunk ID:  43 </t>
  </si>
  <si>
    <t xml:space="preserve">Chunk ID:  44 </t>
  </si>
  <si>
    <t xml:space="preserve">Chunk ID:  45 </t>
  </si>
  <si>
    <t xml:space="preserve">Chunk ID:  46 </t>
  </si>
  <si>
    <t xml:space="preserve">Chunk ID:  47 </t>
  </si>
  <si>
    <t xml:space="preserve">Chunk ID:  48 </t>
  </si>
  <si>
    <t xml:space="preserve">Chunk ID:  49 </t>
  </si>
  <si>
    <t xml:space="preserve">Chunk ID:  50 </t>
  </si>
  <si>
    <t xml:space="preserve">Chunk ID:  51 </t>
  </si>
  <si>
    <t xml:space="preserve">Chunk ID:  52 </t>
  </si>
  <si>
    <t xml:space="preserve">Chunk ID:  53 </t>
  </si>
  <si>
    <t xml:space="preserve">Chunk ID:  54 </t>
  </si>
  <si>
    <t xml:space="preserve">Chunk ID:  55 </t>
  </si>
  <si>
    <t xml:space="preserve">Chunk ID:  56 </t>
  </si>
  <si>
    <t xml:space="preserve">Chunk ID:  57 </t>
  </si>
  <si>
    <t xml:space="preserve">Chunk ID:  58 </t>
  </si>
  <si>
    <t xml:space="preserve">Chunk ID:  59 </t>
  </si>
  <si>
    <t xml:space="preserve">Chunk ID:  60 </t>
  </si>
  <si>
    <t xml:space="preserve">Chunk ID:  61 </t>
  </si>
  <si>
    <t xml:space="preserve">Chunk ID:  62 </t>
  </si>
  <si>
    <t xml:space="preserve">Chunk ID:  63 </t>
  </si>
  <si>
    <t xml:space="preserve">Chunk ID:  64 </t>
  </si>
  <si>
    <t xml:space="preserve">Chunk ID:  65 </t>
  </si>
  <si>
    <t xml:space="preserve">Chunk ID:  66 </t>
  </si>
  <si>
    <t xml:space="preserve">Chunk ID:  67 </t>
  </si>
  <si>
    <t xml:space="preserve">Chunk ID:  68 </t>
  </si>
  <si>
    <t xml:space="preserve">Chunk ID:  69 </t>
  </si>
  <si>
    <t xml:space="preserve">Chunk ID:  70 </t>
  </si>
  <si>
    <t xml:space="preserve">Chunk ID:  71 </t>
  </si>
  <si>
    <t xml:space="preserve">Chunk ID:  72 </t>
  </si>
  <si>
    <t xml:space="preserve">Chunk ID:  73 </t>
  </si>
  <si>
    <t xml:space="preserve">Chunk ID:  74 </t>
  </si>
  <si>
    <t xml:space="preserve">Chunk ID:  75 </t>
  </si>
  <si>
    <t xml:space="preserve">Chunk ID:  76 </t>
  </si>
  <si>
    <t xml:space="preserve">Chunk ID:  77 </t>
  </si>
  <si>
    <t xml:space="preserve">Chunk ID:  78 </t>
  </si>
  <si>
    <t xml:space="preserve">Chunk ID:  79 </t>
  </si>
  <si>
    <t xml:space="preserve">Chunk ID:  80 </t>
  </si>
  <si>
    <t xml:space="preserve">Chunk ID:  81 </t>
  </si>
  <si>
    <t xml:space="preserve">Chunk ID:  82 </t>
  </si>
  <si>
    <t xml:space="preserve">Chunk ID:  83 </t>
  </si>
  <si>
    <t xml:space="preserve">Chunk ID:  84 </t>
  </si>
  <si>
    <t xml:space="preserve">Chunk ID:  85 </t>
  </si>
  <si>
    <t xml:space="preserve">Chunk ID:  86 </t>
  </si>
  <si>
    <t xml:space="preserve">Chunk ID:  87 </t>
  </si>
  <si>
    <t xml:space="preserve">Chunk ID:  88 </t>
  </si>
  <si>
    <t xml:space="preserve">Chunk ID:  89 </t>
  </si>
  <si>
    <t xml:space="preserve">Chunk ID:  90 </t>
  </si>
  <si>
    <t xml:space="preserve">Chunk ID:  91 </t>
  </si>
  <si>
    <t xml:space="preserve">Chunk ID:  92 </t>
  </si>
  <si>
    <t xml:space="preserve">Chunk ID:  93 </t>
  </si>
  <si>
    <t xml:space="preserve">Chunk ID:  94 </t>
  </si>
  <si>
    <t xml:space="preserve">Chunk ID:  95 </t>
  </si>
  <si>
    <t xml:space="preserve">Chunk ID:  96 </t>
  </si>
  <si>
    <t xml:space="preserve">Chunk ID:  97 </t>
  </si>
  <si>
    <t xml:space="preserve">Chunk ID:  98 </t>
  </si>
  <si>
    <t xml:space="preserve">Chunk ID:  99 </t>
  </si>
  <si>
    <t xml:space="preserve">Chunk ID:  100 </t>
  </si>
  <si>
    <t xml:space="preserve">Chunk ID:  101 </t>
  </si>
  <si>
    <t xml:space="preserve">Chunk ID:  102 </t>
  </si>
  <si>
    <t xml:space="preserve">Chunk ID:  103 </t>
  </si>
  <si>
    <t xml:space="preserve">Chunk ID:  104 </t>
  </si>
  <si>
    <t xml:space="preserve">Chunk ID:  105 </t>
  </si>
  <si>
    <t xml:space="preserve">Chunk ID:  106 </t>
  </si>
  <si>
    <t xml:space="preserve">Chunk ID:  107 </t>
  </si>
  <si>
    <t xml:space="preserve">Chunk ID:  108 </t>
  </si>
  <si>
    <t xml:space="preserve">Chunk ID:  109 </t>
  </si>
  <si>
    <t xml:space="preserve">Chunk ID:  110 </t>
  </si>
  <si>
    <t xml:space="preserve">Chunk ID:  111 </t>
  </si>
  <si>
    <t xml:space="preserve">Chunk ID:  112 </t>
  </si>
  <si>
    <t xml:space="preserve">Chunk ID:  113 </t>
  </si>
  <si>
    <t xml:space="preserve">Chunk ID:  114 </t>
  </si>
  <si>
    <t xml:space="preserve">Chunk ID:  115 </t>
  </si>
  <si>
    <t xml:space="preserve">Chunk ID:  116 </t>
  </si>
  <si>
    <t xml:space="preserve">Chunk ID:  117 </t>
  </si>
  <si>
    <t xml:space="preserve">Chunk ID:  118 </t>
  </si>
  <si>
    <t xml:space="preserve">Chunk ID:  119 </t>
  </si>
  <si>
    <t xml:space="preserve">Chunk ID:  120 </t>
  </si>
  <si>
    <t xml:space="preserve">Chunk ID:  121 </t>
  </si>
  <si>
    <t xml:space="preserve">Chunk ID:  122 </t>
  </si>
  <si>
    <t xml:space="preserve">Chunk ID:  123 </t>
  </si>
  <si>
    <t xml:space="preserve">Chunk ID:  124 </t>
  </si>
  <si>
    <t xml:space="preserve">Chunk ID:  125 </t>
  </si>
  <si>
    <t xml:space="preserve">Chunk ID:  126 </t>
  </si>
  <si>
    <t xml:space="preserve">Chunk ID:  127 </t>
  </si>
  <si>
    <t xml:space="preserve">Chunk ID:  128 </t>
  </si>
  <si>
    <t xml:space="preserve">Chunk ID:  129 </t>
  </si>
  <si>
    <t xml:space="preserve">Chunk ID:  130 </t>
  </si>
  <si>
    <t xml:space="preserve">Chunk ID:  131 </t>
  </si>
  <si>
    <t xml:space="preserve">Chunk ID:  132 </t>
  </si>
  <si>
    <t xml:space="preserve">Chunk ID:  133 </t>
  </si>
  <si>
    <t xml:space="preserve">Chunk ID:  134 </t>
  </si>
  <si>
    <t xml:space="preserve">Chunk ID:  135 </t>
  </si>
  <si>
    <t xml:space="preserve">Chunk ID:  136 </t>
  </si>
  <si>
    <t xml:space="preserve">Chunk ID:  137 </t>
  </si>
  <si>
    <t xml:space="preserve">Chunk ID:  138 </t>
  </si>
  <si>
    <t xml:space="preserve">Chunk ID:  139 </t>
  </si>
  <si>
    <t xml:space="preserve">Chunk ID:  140 </t>
  </si>
  <si>
    <t xml:space="preserve">Chunk ID:  141 </t>
  </si>
  <si>
    <t xml:space="preserve">Chunk ID:  142 </t>
  </si>
  <si>
    <t xml:space="preserve">Chunk ID:  143 </t>
  </si>
  <si>
    <t xml:space="preserve">Chunk ID:  144 </t>
  </si>
  <si>
    <t xml:space="preserve">Chunk ID:  145 </t>
  </si>
  <si>
    <t xml:space="preserve">Chunk ID:  146 </t>
  </si>
  <si>
    <t xml:space="preserve">Chunk ID:  147 </t>
  </si>
  <si>
    <t xml:space="preserve">Chunk ID:  148 </t>
  </si>
  <si>
    <t xml:space="preserve">Chunk ID:  149 </t>
  </si>
  <si>
    <t xml:space="preserve">Chunk ID:  150 </t>
  </si>
  <si>
    <t xml:space="preserve">Chunk ID:  151 </t>
  </si>
  <si>
    <r>
      <t xml:space="preserve">                </t>
    </r>
    <r>
      <rPr>
        <sz val="9"/>
        <color rgb="FFA31515"/>
        <rFont val="Consolas"/>
        <family val="3"/>
      </rPr>
      <t>"spese_incluse"</t>
    </r>
    <r>
      <rPr>
        <sz val="9"/>
        <color rgb="FF3B3B3B"/>
        <rFont val="Consolas"/>
        <family val="3"/>
      </rPr>
      <t xml:space="preserve">: </t>
    </r>
    <r>
      <rPr>
        <sz val="9"/>
        <color rgb="FFA31515"/>
        <rFont val="Consolas"/>
        <family val="3"/>
      </rPr>
      <t>"quelle relative al servizio e alla cessazione della carica"</t>
    </r>
  </si>
  <si>
    <r>
      <t xml:space="preserve">                </t>
    </r>
    <r>
      <rPr>
        <sz val="9"/>
        <color rgb="FFA31515"/>
        <rFont val="Consolas"/>
        <family val="3"/>
      </rPr>
      <t>"misura_indennita"</t>
    </r>
    <r>
      <rPr>
        <sz val="9"/>
        <color rgb="FF3B3B3B"/>
        <rFont val="Consolas"/>
        <family val="3"/>
      </rPr>
      <t xml:space="preserve">: </t>
    </r>
    <r>
      <rPr>
        <sz val="9"/>
        <color rgb="FFA31515"/>
        <rFont val="Consolas"/>
        <family val="3"/>
      </rPr>
      <t>"fissata o proporzionale ai utili netti del servizio, accantonata per il fondo di quiescenza con modalità stabilite dal consiglio di amministrazione"</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</si>
  <si>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"Non ho trovato la risposta nei documenti forniti"</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</si>
  <si>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ripartiti tra i soci in misura proporzionale alla parte di ciascuno posseduta, salvo diversa decisione dei soci."</t>
    </r>
  </si>
  <si>
    <r>
      <t xml:space="preserve">                </t>
    </r>
    <r>
      <rPr>
        <sz val="9"/>
        <color rgb="FFA31515"/>
        <rFont val="Consolas"/>
        <family val="3"/>
      </rPr>
      <t>"misura_indennita"</t>
    </r>
    <r>
      <rPr>
        <sz val="9"/>
        <color rgb="FF3B3B3B"/>
        <rFont val="Consolas"/>
        <family val="3"/>
      </rPr>
      <t xml:space="preserve">: </t>
    </r>
    <r>
      <rPr>
        <sz val="9"/>
        <color rgb="FFA31515"/>
        <rFont val="Consolas"/>
        <family val="3"/>
      </rPr>
      <t>""</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</si>
  <si>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"30.000,00"</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</si>
  <si>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ristornati ai soci secondo quanto deliberato dall'Assemblea."</t>
    </r>
  </si>
  <si>
    <r>
      <t xml:space="preserve">                </t>
    </r>
    <r>
      <rPr>
        <sz val="9"/>
        <color rgb="FFA31515"/>
        <rFont val="Consolas"/>
        <family val="3"/>
      </rPr>
      <t>"spese_incluse"</t>
    </r>
    <r>
      <rPr>
        <sz val="9"/>
        <color rgb="FF3B3B3B"/>
        <rFont val="Consolas"/>
        <family val="3"/>
      </rPr>
      <t xml:space="preserve">: </t>
    </r>
    <r>
      <rPr>
        <sz val="9"/>
        <color rgb="FFA31515"/>
        <rFont val="Consolas"/>
        <family val="3"/>
      </rPr>
      <t>"tutte quelle necessarie al svolgimento dell'incarico di amministratore"</t>
    </r>
  </si>
  <si>
    <r>
      <t xml:space="preserve">                </t>
    </r>
    <r>
      <rPr>
        <sz val="9"/>
        <color rgb="FFA31515"/>
        <rFont val="Consolas"/>
        <family val="3"/>
      </rPr>
      <t>"spese_incluse"</t>
    </r>
    <r>
      <rPr>
        <sz val="9"/>
        <color rgb="FF3B3B3B"/>
        <rFont val="Consolas"/>
        <family val="3"/>
      </rPr>
      <t xml:space="preserve">: </t>
    </r>
    <r>
      <rPr>
        <sz val="9"/>
        <color rgb="FFA31515"/>
        <rFont val="Consolas"/>
        <family val="3"/>
      </rPr>
      <t>"quelle relative al loro ufficio"</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</si>
  <si>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</si>
  <si>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</si>
  <si>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5</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</si>
  <si>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</si>
  <si>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</si>
  <si>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89</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</si>
  <si>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servizio e alla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</si>
  <si>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è fissata o proporzionale ai utili netti del servizio e può essere accantonata per il fondo di quiescenza con modalità stabilite dal consiglio di amministrazione."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</si>
  <si>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</si>
  <si>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"Se il capitale sociale è fissato in misura inferiore a euro 10.000,00 (diecimila/00), dovrà essere accantonata almeno un quinto degli utili netti risultanti dal bilancio fino a che la riserva stessa non abbia raggiunto il capitale."</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</si>
  <si>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"L'ammontare del capitale sociale della società </t>
    </r>
    <r>
      <rPr>
        <sz val="9"/>
        <color rgb="FFEE0000"/>
        <rFont val="Consolas"/>
        <family val="3"/>
      </rPr>
      <t>\"</t>
    </r>
    <r>
      <rPr>
        <sz val="9"/>
        <color rgb="FFA31515"/>
        <rFont val="Consolas"/>
        <family val="3"/>
      </rPr>
      <t>Poliambulatorio 3D S.R.L.</t>
    </r>
    <r>
      <rPr>
        <sz val="9"/>
        <color rgb="FFEE0000"/>
        <rFont val="Consolas"/>
        <family val="3"/>
      </rPr>
      <t>\"</t>
    </r>
    <r>
      <rPr>
        <sz val="9"/>
        <color rgb="FFA31515"/>
        <rFont val="Consolas"/>
        <family val="3"/>
      </rPr>
      <t xml:space="preserve"> è di euro 10.000,00."</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</si>
  <si>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 In presenza di particolari esigenze, entro centotrenta giorni dalla chiusura dell'esercizio sociale."</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</si>
  <si>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ripartiti tra i soci in misura proporzionale alla parte di ciascuno posseduta, salvo diversa decisione dei soci."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</si>
  <si>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di 31 dicembre 2060."</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</si>
  <si>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dirette ed indirette sostenute per l'attuazione del proprio oggetto sociale."</t>
    </r>
  </si>
  <si>
    <r>
      <t xml:space="preserve">                </t>
    </r>
    <r>
      <rPr>
        <sz val="9"/>
        <color rgb="FFA31515"/>
        <rFont val="Consolas"/>
        <family val="3"/>
      </rPr>
      <t>"A"</t>
    </r>
    <r>
      <rPr>
        <sz val="9"/>
        <color rgb="FF3B3B3B"/>
        <rFont val="Consolas"/>
        <family val="3"/>
      </rPr>
      <t xml:space="preserve">: </t>
    </r>
    <r>
      <rPr>
        <sz val="9"/>
        <color rgb="FFA31515"/>
        <rFont val="Consolas"/>
        <family val="3"/>
      </rPr>
      <t>"Il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</si>
  <si>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ristornati ai soci secondo quanto deliberato dall'Assemblea."</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</si>
  <si>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Consortile è stabilita fino al 31 dicembre 2032."</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</si>
  <si>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tutte quelle necessarie al svolgimento dell'incarico di amministratore."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</si>
  <si>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12.000,00 (dodicimila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</si>
  <si>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loro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</si>
  <si>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può essere stabilita in misura fissa o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</si>
  <si>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sociale. In presenza di particolari esigenze, il termine è prorogato a centotrenta giorni."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</si>
  <si>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dicembre duemilasei- cento sessanta (31 dicembre 2060)."</t>
    </r>
  </si>
  <si>
    <r>
      <t xml:space="preserve">                </t>
    </r>
    <r>
      <rPr>
        <sz val="8"/>
        <color rgb="FFA31515"/>
        <rFont val="Consolas"/>
        <family val="3"/>
      </rPr>
      <t>"analyze_query"</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</si>
  <si>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"retrieve"</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</si>
  <si>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"generate"</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</si>
  <si>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"re_ranking"</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</si>
  <si>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"overall"</t>
    </r>
    <r>
      <rPr>
        <sz val="8"/>
        <color rgb="FF3B3B3B"/>
        <rFont val="Consolas"/>
        <family val="3"/>
      </rPr>
      <t xml:space="preserve">: </t>
    </r>
    <r>
      <rPr>
        <sz val="8"/>
        <color rgb="FFA31515"/>
        <rFont val="Consolas"/>
        <family val="3"/>
      </rPr>
      <t>"0.00 s"</t>
    </r>
    <r>
      <rPr>
        <sz val="8"/>
        <color rgb="FF3B3B3B"/>
        <rFont val="Consolas"/>
        <family val="3"/>
      </rPr>
      <t>,</t>
    </r>
  </si>
  <si>
    <r>
      <t xml:space="preserve">                </t>
    </r>
    <r>
      <rPr>
        <sz val="8"/>
        <color rgb="FFA31515"/>
        <rFont val="Consolas"/>
        <family val="3"/>
      </rPr>
      <t>"extract_sub_module"</t>
    </r>
    <r>
      <rPr>
        <sz val="8"/>
        <color rgb="FF3B3B3B"/>
        <rFont val="Consolas"/>
        <family val="3"/>
      </rPr>
      <t xml:space="preserve">: </t>
    </r>
    <r>
      <rPr>
        <sz val="8"/>
        <color rgb="FFA31515"/>
        <rFont val="Consolas"/>
        <family val="3"/>
      </rPr>
      <t>"0.00 s"</t>
    </r>
  </si>
  <si>
    <r>
      <t xml:space="preserve">                </t>
    </r>
    <r>
      <rPr>
        <sz val="8"/>
        <color rgb="FFA31515"/>
        <rFont val="Consolas"/>
        <family val="3"/>
      </rPr>
      <t>"analyze_query"</t>
    </r>
    <r>
      <rPr>
        <sz val="8"/>
        <color rgb="FF3B3B3B"/>
        <rFont val="Consolas"/>
        <family val="3"/>
      </rPr>
      <t xml:space="preserve">: </t>
    </r>
    <r>
      <rPr>
        <sz val="8"/>
        <color rgb="FFA31515"/>
        <rFont val="Consolas"/>
        <family val="3"/>
      </rPr>
      <t>"19.761 s"</t>
    </r>
    <r>
      <rPr>
        <sz val="8"/>
        <color rgb="FF3B3B3B"/>
        <rFont val="Consolas"/>
        <family val="3"/>
      </rPr>
      <t>,</t>
    </r>
  </si>
  <si>
    <r>
      <t xml:space="preserve">                </t>
    </r>
    <r>
      <rPr>
        <sz val="8"/>
        <color rgb="FFA31515"/>
        <rFont val="Consolas"/>
        <family val="3"/>
      </rPr>
      <t>"retrieve"</t>
    </r>
    <r>
      <rPr>
        <sz val="8"/>
        <color rgb="FF3B3B3B"/>
        <rFont val="Consolas"/>
        <family val="3"/>
      </rPr>
      <t xml:space="preserve">: </t>
    </r>
    <r>
      <rPr>
        <sz val="8"/>
        <color rgb="FFA31515"/>
        <rFont val="Consolas"/>
        <family val="3"/>
      </rPr>
      <t>"0.171 s"</t>
    </r>
    <r>
      <rPr>
        <sz val="8"/>
        <color rgb="FF3B3B3B"/>
        <rFont val="Consolas"/>
        <family val="3"/>
      </rPr>
      <t>,</t>
    </r>
  </si>
  <si>
    <r>
      <t xml:space="preserve">                </t>
    </r>
    <r>
      <rPr>
        <sz val="8"/>
        <color rgb="FFA31515"/>
        <rFont val="Consolas"/>
        <family val="3"/>
      </rPr>
      <t>"generate"</t>
    </r>
    <r>
      <rPr>
        <sz val="8"/>
        <color rgb="FF3B3B3B"/>
        <rFont val="Consolas"/>
        <family val="3"/>
      </rPr>
      <t xml:space="preserve">: </t>
    </r>
    <r>
      <rPr>
        <sz val="8"/>
        <color rgb="FFA31515"/>
        <rFont val="Consolas"/>
        <family val="3"/>
      </rPr>
      <t>"24.548 s"</t>
    </r>
    <r>
      <rPr>
        <sz val="8"/>
        <color rgb="FF3B3B3B"/>
        <rFont val="Consolas"/>
        <family val="3"/>
      </rPr>
      <t>,</t>
    </r>
  </si>
  <si>
    <r>
      <t xml:space="preserve">                </t>
    </r>
    <r>
      <rPr>
        <sz val="8"/>
        <color rgb="FFA31515"/>
        <rFont val="Consolas"/>
        <family val="3"/>
      </rPr>
      <t>"re_ranking"</t>
    </r>
    <r>
      <rPr>
        <sz val="8"/>
        <color rgb="FF3B3B3B"/>
        <rFont val="Consolas"/>
        <family val="3"/>
      </rPr>
      <t xml:space="preserve">: </t>
    </r>
    <r>
      <rPr>
        <sz val="8"/>
        <color rgb="FFA31515"/>
        <rFont val="Consolas"/>
        <family val="3"/>
      </rPr>
      <t>"9.918 s"</t>
    </r>
    <r>
      <rPr>
        <sz val="8"/>
        <color rgb="FF3B3B3B"/>
        <rFont val="Consolas"/>
        <family val="3"/>
      </rPr>
      <t>,</t>
    </r>
  </si>
  <si>
    <r>
      <t xml:space="preserve">                </t>
    </r>
    <r>
      <rPr>
        <sz val="8"/>
        <color rgb="FFA31515"/>
        <rFont val="Consolas"/>
        <family val="3"/>
      </rPr>
      <t>"overall"</t>
    </r>
    <r>
      <rPr>
        <sz val="8"/>
        <color rgb="FF3B3B3B"/>
        <rFont val="Consolas"/>
        <family val="3"/>
      </rPr>
      <t xml:space="preserve">: </t>
    </r>
    <r>
      <rPr>
        <sz val="8"/>
        <color rgb="FFA31515"/>
        <rFont val="Consolas"/>
        <family val="3"/>
      </rPr>
      <t>"86.842 s"</t>
    </r>
    <r>
      <rPr>
        <sz val="8"/>
        <color rgb="FF3B3B3B"/>
        <rFont val="Consolas"/>
        <family val="3"/>
      </rPr>
      <t>,</t>
    </r>
  </si>
  <si>
    <r>
      <t xml:space="preserve">                </t>
    </r>
    <r>
      <rPr>
        <sz val="8"/>
        <color rgb="FFA31515"/>
        <rFont val="Consolas"/>
        <family val="3"/>
      </rPr>
      <t>"extract_sub_module"</t>
    </r>
    <r>
      <rPr>
        <sz val="8"/>
        <color rgb="FF3B3B3B"/>
        <rFont val="Consolas"/>
        <family val="3"/>
      </rPr>
      <t xml:space="preserve">: </t>
    </r>
    <r>
      <rPr>
        <sz val="8"/>
        <color rgb="FFA31515"/>
        <rFont val="Consolas"/>
        <family val="3"/>
      </rPr>
      <t>"31.797 s"</t>
    </r>
  </si>
  <si>
    <r>
      <rPr>
        <b/>
        <sz val="11"/>
        <color theme="1"/>
        <rFont val="Calibri"/>
        <family val="2"/>
        <scheme val="minor"/>
      </rPr>
      <t xml:space="preserve">Ingestion: </t>
    </r>
    <r>
      <rPr>
        <sz val="11"/>
        <color theme="1"/>
        <rFont val="Calibri"/>
        <family val="2"/>
        <scheme val="minor"/>
      </rPr>
      <t>Custom chunking (pre-def pattern)</t>
    </r>
  </si>
  <si>
    <t xml:space="preserve"> In the retrieve_node we pass whole article/header as context</t>
  </si>
  <si>
    <t>        Avg. Group accuracy:  0.600</t>
  </si>
  <si>
    <t>            BilanciUtili: 0.400</t>
  </si>
  <si>
    <t>            BilanciUtili: 0.667</t>
  </si>
  <si>
    <t>    Avg. Company accuracy:  0.696</t>
  </si>
  <si>
    <t>        BilanciUtili: 0.609</t>
  </si>
  <si>
    <t>        Avg. Group Runtime:  0.000 s</t>
  </si>
  <si>
    <t>            CompensoAmministratori: 0.000 s</t>
  </si>
  <si>
    <t>            BilanciUtili: 0.000 s</t>
  </si>
  <si>
    <t>            InfoGenerali: 0.000 s</t>
  </si>
  <si>
    <t>        Avg. Group Runtime:  86.842 s</t>
  </si>
  <si>
    <t>            CompensoAmministratori: 86.842 s</t>
  </si>
  <si>
    <t>            BilanciUtili: 86.842 s</t>
  </si>
  <si>
    <t>            InfoGenerali: 86.842 s</t>
  </si>
  <si>
    <t>    Avg. Company Runtime:  21.710 s</t>
  </si>
  <si>
    <t>        CompensoAmministratori: 21.710 s</t>
  </si>
  <si>
    <t>        BilanciUtili: 21.710 s</t>
  </si>
  <si>
    <t>        InfoGenerali: 21.710 s</t>
  </si>
  <si>
    <r>
      <rPr>
        <b/>
        <sz val="11"/>
        <color theme="1"/>
        <rFont val="Calibri"/>
        <family val="2"/>
        <scheme val="minor"/>
      </rPr>
      <t xml:space="preserve">TEST 4: </t>
    </r>
    <r>
      <rPr>
        <sz val="11"/>
        <color theme="1"/>
        <rFont val="Calibri"/>
        <family val="2"/>
        <scheme val="minor"/>
      </rPr>
      <t>Fixed Chunking (with Parent-Child chunks)</t>
    </r>
  </si>
  <si>
    <r>
      <rPr>
        <b/>
        <sz val="11"/>
        <color theme="1"/>
        <rFont val="Calibri"/>
        <family val="2"/>
        <scheme val="minor"/>
      </rPr>
      <t xml:space="preserve">TEST 5: </t>
    </r>
    <r>
      <rPr>
        <sz val="11"/>
        <color theme="1"/>
        <rFont val="Calibri"/>
        <family val="2"/>
        <scheme val="minor"/>
      </rPr>
      <t>Custom Chunking (pre-def patterns) with passing whole article/sub-passage as context (Parent-Child type)</t>
    </r>
  </si>
  <si>
    <t>: Non estrando l'informazione anche se sono presenti nella risposta e la debolezza di LLAMA 3.2:3b. Altri modelli come Mistral e Gemma riescono.  (es. "spetta_indennita_da_soci":)</t>
  </si>
  <si>
    <r>
      <rPr>
        <b/>
        <sz val="11"/>
        <color theme="1"/>
        <rFont val="Calibri"/>
        <family val="2"/>
        <scheme val="minor"/>
      </rPr>
      <t xml:space="preserve">TEST 4: </t>
    </r>
    <r>
      <rPr>
        <sz val="11"/>
        <color theme="1"/>
        <rFont val="Calibri"/>
        <family val="2"/>
        <scheme val="minor"/>
      </rPr>
      <t>Fixed Chunking (with Parent-Child chunks) [chunk_id corresponds to parent chunk]</t>
    </r>
  </si>
  <si>
    <t>G</t>
  </si>
  <si>
    <t>X</t>
  </si>
  <si>
    <t>R</t>
  </si>
  <si>
    <t>Problems:</t>
  </si>
  <si>
    <t xml:space="preserve">1, The presence of name of azienda in query/question made retrieval of chunks incorrect often retrieving first  chunks of the statuto in which the name of the azienda is written which gets better semantically matched than the relevant articles. </t>
  </si>
  <si>
    <t>S</t>
  </si>
  <si>
    <t>U</t>
  </si>
  <si>
    <r>
      <t xml:space="preserve">                </t>
    </r>
    <r>
      <rPr>
        <sz val="9"/>
        <color rgb="FFA31515"/>
        <rFont val="Consolas"/>
        <family val="3"/>
      </rPr>
      <t>"A"</t>
    </r>
    <r>
      <rPr>
        <sz val="9"/>
        <color rgb="FF3B3B3B"/>
        <rFont val="Consolas"/>
        <family val="3"/>
      </rPr>
      <t>:</t>
    </r>
    <r>
      <rPr>
        <sz val="9"/>
        <color rgb="FFA31515"/>
        <rFont val="Consolas"/>
        <family val="3"/>
      </rPr>
      <t>"Non ho trovato la risposta nei documenti forniti."</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</si>
  <si>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assegnare un compenso agli amministratori, come stabilito dall'articolo 14.2 del statuto della società POLIAMBULATORIO 3D S.R.L., che prevede l'assegnazione di un'indennità annuale fissata o un compenso proporzionale ai utili netti dell'esercizio."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</si>
  <si>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accantonare una somma a titolo di indennità per gli amministratori in caso di cessazione della carica, come previsto dall'articolo 14.2 del statuto societario della POLIAMBULATORIO 3D S.R.L."</t>
    </r>
  </si>
  <si>
    <r>
      <t xml:space="preserve">                </t>
    </r>
    <r>
      <rPr>
        <sz val="9"/>
        <color rgb="FFA31515"/>
        <rFont val="Consolas"/>
        <family val="3"/>
      </rPr>
      <t>"A"</t>
    </r>
    <r>
      <rPr>
        <sz val="9"/>
        <color rgb="FF3B3B3B"/>
        <rFont val="Consolas"/>
        <family val="3"/>
      </rPr>
      <t>:</t>
    </r>
    <r>
      <rPr>
        <sz val="9"/>
        <color rgb="FFA31515"/>
        <rFont val="Consolas"/>
        <family val="3"/>
      </rPr>
      <t xml:space="preserve">"Il capitale sociale della società </t>
    </r>
    <r>
      <rPr>
        <sz val="9"/>
        <color rgb="FFEE0000"/>
        <rFont val="Consolas"/>
        <family val="3"/>
      </rPr>
      <t>\"</t>
    </r>
    <r>
      <rPr>
        <sz val="9"/>
        <color rgb="FFA31515"/>
        <rFont val="Consolas"/>
        <family val="3"/>
      </rPr>
      <t>Poliambulatorio 3D S.R.L.</t>
    </r>
    <r>
      <rPr>
        <sz val="9"/>
        <color rgb="FFEE0000"/>
        <rFont val="Consolas"/>
        <family val="3"/>
      </rPr>
      <t>\"</t>
    </r>
    <r>
      <rPr>
        <sz val="9"/>
        <color rgb="FFA31515"/>
        <rFont val="Consolas"/>
        <family val="3"/>
      </rPr>
      <t xml:space="preserve"> è di euro 10.000,00 (diecimila/00) diviso in quote."</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</si>
  <si>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"L'assemblea deve essere convocata almeno una volta l'anno per l'approvazione del bilancio. Non ho trovato la risposta nei documenti forniti."</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</si>
  <si>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"31 dicembre."</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</si>
  <si>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"Gli utili residui devono essere accantonati a riserva legale, pari almeno a un quinto degli utili netti risultanti dal bilancio fino a che la riserva non abbia raggiunto l'ammontare del capitale. La riserva può essere utilizzata solo per imputazione a capitale e per copertura di eventuali perdite, e deve essere reintegrata in caso di diminuzione per qualsiasi ragione."</t>
    </r>
  </si>
  <si>
    <r>
      <t xml:space="preserve">                </t>
    </r>
    <r>
      <rPr>
        <sz val="9"/>
        <color rgb="FFA31515"/>
        <rFont val="Consolas"/>
        <family val="3"/>
      </rPr>
      <t>"A"</t>
    </r>
    <r>
      <rPr>
        <sz val="9"/>
        <color rgb="FF3B3B3B"/>
        <rFont val="Consolas"/>
        <family val="3"/>
      </rPr>
      <t>:</t>
    </r>
    <r>
      <rPr>
        <sz val="9"/>
        <color rgb="FFA31515"/>
        <rFont val="Consolas"/>
        <family val="3"/>
      </rPr>
      <t>"La durata della società Poliambulatorio 3D S.R.L. è stabilita fino al 31 dicembre 2060, salvo proroga o scioglimento anticipato."</t>
    </r>
  </si>
  <si>
    <r>
      <t xml:space="preserve">                </t>
    </r>
    <r>
      <rPr>
        <sz val="9"/>
        <color rgb="FFA31515"/>
        <rFont val="Consolas"/>
        <family val="3"/>
      </rPr>
      <t>"A"</t>
    </r>
    <r>
      <rPr>
        <sz val="9"/>
        <color rgb="FF3B3B3B"/>
        <rFont val="Consolas"/>
        <family val="3"/>
      </rPr>
      <t>:</t>
    </r>
    <r>
      <rPr>
        <sz val="9"/>
        <color rgb="FFA31515"/>
        <rFont val="Consolas"/>
        <family val="3"/>
      </rPr>
      <t>"Sì, i soci possono assegnare un compenso agli amministratori in misura proporzionale alla loro partecipazione sociale, come previsto all'articolo 26, punto B) del statuto."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</si>
  <si>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"Non ho trovato la risposta nei documenti forniti."</t>
    </r>
  </si>
  <si>
    <r>
      <t xml:space="preserve">                </t>
    </r>
    <r>
      <rPr>
        <sz val="9"/>
        <color rgb="FFA31515"/>
        <rFont val="Consolas"/>
        <family val="3"/>
      </rPr>
      <t>"A"</t>
    </r>
    <r>
      <rPr>
        <sz val="9"/>
        <color rgb="FF3B3B3B"/>
        <rFont val="Consolas"/>
        <family val="3"/>
      </rPr>
      <t>:</t>
    </r>
    <r>
      <rPr>
        <sz val="9"/>
        <color rgb="FFA31515"/>
        <rFont val="Consolas"/>
        <family val="3"/>
      </rPr>
      <t xml:space="preserve">"L'ammontare del capitale sociale della società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 xml:space="preserve"> è di Euro 30.000,00 (trentamila virgola zero zero)."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</si>
  <si>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"Entro 180 giorni dalla chiusura dell'esercizio sociale, nei casi consentiti dalla legge."</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</si>
  <si>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 xml:space="preserve">"Il 31 dicembre di ogni anno. La società si chiama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</si>
  <si>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"Gli utili residui vengono ristornati ai soci secondo quanto deliberato dall'Assemblea."</t>
    </r>
  </si>
  <si>
    <r>
      <t xml:space="preserve">                </t>
    </r>
    <r>
      <rPr>
        <sz val="9"/>
        <color rgb="FFA31515"/>
        <rFont val="Consolas"/>
        <family val="3"/>
      </rPr>
      <t>"A"</t>
    </r>
    <r>
      <rPr>
        <sz val="9"/>
        <color rgb="FF3B3B3B"/>
        <rFont val="Consolas"/>
        <family val="3"/>
      </rPr>
      <t>:</t>
    </r>
    <r>
      <rPr>
        <sz val="9"/>
        <color rgb="FFA31515"/>
        <rFont val="Consolas"/>
        <family val="3"/>
      </rPr>
      <t xml:space="preserve">"La durata della società Consortile è stabilita fino al 31 dicembre 2032. La società si chiama </t>
    </r>
    <r>
      <rPr>
        <sz val="9"/>
        <color rgb="FFEE0000"/>
        <rFont val="Consolas"/>
        <family val="3"/>
      </rPr>
      <t>\"</t>
    </r>
    <r>
      <rPr>
        <sz val="9"/>
        <color rgb="FFA31515"/>
        <rFont val="Consolas"/>
        <family val="3"/>
      </rPr>
      <t>Ospedale Tortona Società Consortile a R.L.</t>
    </r>
    <r>
      <rPr>
        <sz val="9"/>
        <color rgb="FFEE0000"/>
        <rFont val="Consolas"/>
        <family val="3"/>
      </rPr>
      <t>\"</t>
    </r>
    <r>
      <rPr>
        <sz val="9"/>
        <color rgb="FFA31515"/>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</si>
  <si>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agli amministratori spetta il rimborso delle spese sostenute per ragioni del loro ufficio, come stabilito all'art. 10."</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</si>
  <si>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assegnare un compenso agli amministratori, ma la misura deve essere determinata con decisione valida fino a modifica e non può superare il limite previsto dal Codice civile (art. 2389, terzo comma)."</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</si>
  <si>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accantonare una somma a titolo di indennità per gli amministratori in caso di cessazione della carica, come previsto dall'art. 10 del statuto."</t>
    </r>
  </si>
  <si>
    <r>
      <t xml:space="preserve">                </t>
    </r>
    <r>
      <rPr>
        <sz val="9"/>
        <color rgb="FFA31515"/>
        <rFont val="Consolas"/>
        <family val="3"/>
      </rPr>
      <t>"A"</t>
    </r>
    <r>
      <rPr>
        <sz val="9"/>
        <color rgb="FF3B3B3B"/>
        <rFont val="Consolas"/>
        <family val="3"/>
      </rPr>
      <t>:</t>
    </r>
    <r>
      <rPr>
        <sz val="9"/>
        <color rgb="FFA31515"/>
        <rFont val="Consolas"/>
        <family val="3"/>
      </rPr>
      <t xml:space="preserve">"Il capitale sociale della società </t>
    </r>
    <r>
      <rPr>
        <sz val="9"/>
        <color rgb="FFEE0000"/>
        <rFont val="Consolas"/>
        <family val="3"/>
      </rPr>
      <t>\"</t>
    </r>
    <r>
      <rPr>
        <sz val="9"/>
        <color rgb="FFA31515"/>
        <rFont val="Consolas"/>
        <family val="3"/>
      </rPr>
      <t>Unica Società Benefit a R.L.</t>
    </r>
    <r>
      <rPr>
        <sz val="9"/>
        <color rgb="FFEE0000"/>
        <rFont val="Consolas"/>
        <family val="3"/>
      </rPr>
      <t>\"</t>
    </r>
    <r>
      <rPr>
        <sz val="9"/>
        <color rgb="FFA31515"/>
        <rFont val="Consolas"/>
        <family val="3"/>
      </rPr>
      <t xml:space="preserve"> è di euro 12.000,00 (dodicimila virgola zero zero)."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</si>
  <si>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"L'esercizio sociale si chiude al 31 dicembre di ogni anno."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</si>
  <si>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"Secondo l'art. 13 del statuto, gli utili residui devono essere distribuiti agli associati con maggioranza semplice del capitale sociale, ma in caso di mancata distribuzione, l'assemblea decide sulla destinazione degli utili residui."</t>
    </r>
  </si>
  <si>
    <r>
      <t xml:space="preserve">                </t>
    </r>
    <r>
      <rPr>
        <sz val="9"/>
        <color rgb="FFA31515"/>
        <rFont val="Consolas"/>
        <family val="3"/>
      </rPr>
      <t>"A"</t>
    </r>
    <r>
      <rPr>
        <sz val="9"/>
        <color rgb="FF3B3B3B"/>
        <rFont val="Consolas"/>
        <family val="3"/>
      </rPr>
      <t>:</t>
    </r>
    <r>
      <rPr>
        <sz val="9"/>
        <color rgb="FFA31515"/>
        <rFont val="Consolas"/>
        <family val="3"/>
      </rPr>
      <t>"La durata della società è fissata fino al 31 dicembre 2080."</t>
    </r>
  </si>
  <si>
    <r>
      <t xml:space="preserve">                </t>
    </r>
    <r>
      <rPr>
        <sz val="9"/>
        <color rgb="FFA31515"/>
        <rFont val="Consolas"/>
        <family val="3"/>
      </rPr>
      <t>"A"</t>
    </r>
    <r>
      <rPr>
        <sz val="9"/>
        <color rgb="FF3B3B3B"/>
        <rFont val="Consolas"/>
        <family val="3"/>
      </rPr>
      <t>:</t>
    </r>
    <r>
      <rPr>
        <sz val="9"/>
        <color rgb="FFA31515"/>
        <rFont val="Consolas"/>
        <family val="3"/>
      </rPr>
      <t>"Sì, agli amministratori spetta il rimborso delle spese stenute per ragioni del loro ufficio. Le spese che possono essere rimborsate includono quelle relative alle attività svolte nell'esercizio della carica di amministratore."</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</si>
  <si>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assegnare un compenso agli amministratori. La misura del compenso è stabilita all'atto della loro nomina o successivamente, in misura proporzionale agli utili netti di esercizio."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</si>
  <si>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"Sì, i soci possono accantonare una somma a titolo di indennità per gli amministratori in caso di cessazione della carica."</t>
    </r>
  </si>
  <si>
    <r>
      <t xml:space="preserve">                </t>
    </r>
    <r>
      <rPr>
        <sz val="9"/>
        <color rgb="FFA31515"/>
        <rFont val="Consolas"/>
        <family val="3"/>
      </rPr>
      <t>"A"</t>
    </r>
    <r>
      <rPr>
        <sz val="9"/>
        <color rgb="FF3B3B3B"/>
        <rFont val="Consolas"/>
        <family val="3"/>
      </rPr>
      <t>:</t>
    </r>
    <r>
      <rPr>
        <sz val="9"/>
        <color rgb="FFA31515"/>
        <rFont val="Consolas"/>
        <family val="3"/>
      </rPr>
      <t xml:space="preserve">"L'ammontare del capitale sociale della società </t>
    </r>
    <r>
      <rPr>
        <sz val="9"/>
        <color rgb="FFEE0000"/>
        <rFont val="Consolas"/>
        <family val="3"/>
      </rPr>
      <t>\"</t>
    </r>
    <r>
      <rPr>
        <sz val="9"/>
        <color rgb="FFA31515"/>
        <rFont val="Consolas"/>
        <family val="3"/>
      </rPr>
      <t>Secur System Group di Romeo S.r.l.</t>
    </r>
    <r>
      <rPr>
        <sz val="9"/>
        <color rgb="FFEE0000"/>
        <rFont val="Consolas"/>
        <family val="3"/>
      </rPr>
      <t>\"</t>
    </r>
    <r>
      <rPr>
        <sz val="9"/>
        <color rgb="FFA31515"/>
        <rFont val="Consolas"/>
        <family val="3"/>
      </rPr>
      <t xml:space="preserve"> è euro 15.000,00 (euro quindicemila)."</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</si>
  <si>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"Il bilancio deve essere approvato entro centoventi giorni dalla chiusura dell'esercizio sociale normalmente. In presenza di particolari esigenze, il termine prorogato è di centotrenta giorni."</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</si>
  <si>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"Gli esercizi sociali si chiudono al 31 dicembre di ogni anno."</t>
    </r>
    <r>
      <rPr>
        <sz val="9"/>
        <color rgb="FF3B3B3B"/>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</si>
  <si>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 xml:space="preserve">"Secondo l'art. 31, </t>
    </r>
    <r>
      <rPr>
        <sz val="9"/>
        <color rgb="FFEE0000"/>
        <rFont val="Consolas"/>
        <family val="3"/>
      </rPr>
      <t>\"</t>
    </r>
    <r>
      <rPr>
        <sz val="9"/>
        <color rgb="FFA31515"/>
        <rFont val="Consolas"/>
        <family val="3"/>
      </rPr>
      <t>Dagli utili netti risultanti dal bilancio deve essere dedotta una somma corrispondente al 5% (cinque per cento) da destinare alla riserva legale finchè questa non abbia raggiunto il quinto del capitale sociale.</t>
    </r>
    <r>
      <rPr>
        <sz val="9"/>
        <color rgb="FFEE0000"/>
        <rFont val="Consolas"/>
        <family val="3"/>
      </rPr>
      <t>\"</t>
    </r>
    <r>
      <rPr>
        <sz val="9"/>
        <color rgb="FFA31515"/>
        <rFont val="Consolas"/>
        <family val="3"/>
      </rPr>
      <t>"</t>
    </r>
  </si>
  <si>
    <r>
      <t xml:space="preserve">                </t>
    </r>
    <r>
      <rPr>
        <sz val="9"/>
        <color rgb="FFA31515"/>
        <rFont val="Consolas"/>
        <family val="3"/>
      </rPr>
      <t>"A"</t>
    </r>
    <r>
      <rPr>
        <sz val="9"/>
        <color rgb="FF3B3B3B"/>
        <rFont val="Consolas"/>
        <family val="3"/>
      </rPr>
      <t>:</t>
    </r>
    <r>
      <rPr>
        <sz val="9"/>
        <color rgb="FFA31515"/>
        <rFont val="Consolas"/>
        <family val="3"/>
      </rPr>
      <t>"La durata della società è stabilita fino al trentuno dicembre duemilasei- cento sessanta (31 dicembre 2060)."</t>
    </r>
  </si>
  <si>
    <t xml:space="preserve">1, The query was not well optimized in analyze query  for "TermineApprovazioneBilancio" which lead </t>
  </si>
  <si>
    <r>
      <t xml:space="preserve">                </t>
    </r>
    <r>
      <rPr>
        <sz val="9"/>
        <color rgb="FFA31515"/>
        <rFont val="Consolas"/>
        <family val="3"/>
      </rPr>
      <t>"PercentualeRiservaLegale"</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</si>
  <si>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28</t>
    </r>
    <r>
      <rPr>
        <sz val="9"/>
        <color rgb="FF3B3B3B"/>
        <rFont val="Consolas"/>
        <family val="3"/>
      </rPr>
      <t xml:space="preserve">, </t>
    </r>
    <r>
      <rPr>
        <sz val="9"/>
        <color rgb="FF098658"/>
        <rFont val="Consolas"/>
        <family val="3"/>
      </rPr>
      <t>23</t>
    </r>
    <r>
      <rPr>
        <sz val="9"/>
        <color rgb="FF3B3B3B"/>
        <rFont val="Consolas"/>
        <family val="3"/>
      </rPr>
      <t>],</t>
    </r>
  </si>
  <si>
    <t xml:space="preserve">2,  Worst for the company Ospedale </t>
  </si>
  <si>
    <t xml:space="preserve">3, Worst for the group Bilanci &amp; Utili </t>
  </si>
  <si>
    <r>
      <t xml:space="preserve">                </t>
    </r>
    <r>
      <rPr>
        <sz val="9"/>
        <color rgb="FFA31515"/>
        <rFont val="Consolas"/>
        <family val="3"/>
      </rPr>
      <t>"percentuale_utili"</t>
    </r>
    <r>
      <rPr>
        <sz val="9"/>
        <color rgb="FF3B3B3B"/>
        <rFont val="Consolas"/>
        <family val="3"/>
      </rPr>
      <t xml:space="preserve">: </t>
    </r>
    <r>
      <rPr>
        <sz val="9"/>
        <color rgb="FFA31515"/>
        <rFont val="Consolas"/>
        <family val="3"/>
      </rPr>
      <t xml:space="preserve">"un quinto degli utili netti risultanti dal bilancio"                                                                                                    </t>
    </r>
    <r>
      <rPr>
        <sz val="9"/>
        <rFont val="Consolas"/>
        <family val="3"/>
      </rPr>
      <t>(HALF ANSWER)</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</si>
  <si>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 xml:space="preserve">"130"                                                                                                                                                                                                           </t>
    </r>
    <r>
      <rPr>
        <sz val="9"/>
        <rFont val="Consolas"/>
        <family val="3"/>
      </rPr>
      <t xml:space="preserve">  (ALLUCINAZIONE: inventato il numero)</t>
    </r>
  </si>
  <si>
    <r>
      <t xml:space="preserve">                </t>
    </r>
    <r>
      <rPr>
        <sz val="9"/>
        <color rgb="FFA31515"/>
        <rFont val="Consolas"/>
        <family val="3"/>
      </rPr>
      <t>"spese_incluse"</t>
    </r>
    <r>
      <rPr>
        <sz val="9"/>
        <color rgb="FF3B3B3B"/>
        <rFont val="Consolas"/>
        <family val="3"/>
      </rPr>
      <t xml:space="preserve">: </t>
    </r>
    <r>
      <rPr>
        <sz val="9"/>
        <color rgb="FFA31515"/>
        <rFont val="Consolas"/>
        <family val="3"/>
      </rPr>
      <t xml:space="preserve">"spese dirette ed indirette sostenute per l'attuazione del proprio oggetto sociale"                                             </t>
    </r>
  </si>
  <si>
    <r>
      <t xml:space="preserve">                </t>
    </r>
    <r>
      <rPr>
        <sz val="9"/>
        <color rgb="FFA31515"/>
        <rFont val="Consolas"/>
        <family val="3"/>
      </rPr>
      <t>"spetta_rimborso"</t>
    </r>
    <r>
      <rPr>
        <sz val="9"/>
        <color rgb="FF3B3B3B"/>
        <rFont val="Consolas"/>
        <family val="3"/>
      </rPr>
      <t xml:space="preserve">: </t>
    </r>
    <r>
      <rPr>
        <sz val="9"/>
        <color rgb="FFA31515"/>
        <rFont val="Consolas"/>
        <family val="3"/>
      </rPr>
      <t>"Sì"</t>
    </r>
    <r>
      <rPr>
        <sz val="9"/>
        <color rgb="FF3B3B3B"/>
        <rFont val="Consolas"/>
        <family val="3"/>
      </rPr>
      <t>,                                                                                                                                                                           (ALLUCINAZIONE: confuso amministratori con Società Consortile)</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</si>
  <si>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"0"</t>
    </r>
    <r>
      <rPr>
        <sz val="9"/>
        <color rgb="FF3B3B3B"/>
        <rFont val="Consolas"/>
        <family val="3"/>
      </rPr>
      <t>,                                                                          (could have to do with wording of the quesetion and inclusion of name of Società in question for re-ranking)</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</si>
  <si>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 xml:space="preserve">""                                                                                         </t>
    </r>
    <r>
      <rPr>
        <sz val="9"/>
        <rFont val="Consolas"/>
        <family val="3"/>
      </rPr>
      <t>(Re-ranker returned Article about Denominazione so prob. Name of società in question causes mismatch)</t>
    </r>
  </si>
  <si>
    <t>"_x000D_
---------------------------------------- CHUNK 0 ----------------------------------------_x000D_
Azienda:  poliambulatorio 3d s.r.l. _x000D_
_x000D_
Chunk ID:  0 _x000D_
_x000D_
STATUTO DELLA SOCIETA' A RESPONSABILITA' LIMITATA DENOMINATA_x000D_
POLIAMBULATORIO 3D S.R.L."</t>
  </si>
  <si>
    <t xml:space="preserve">Chunk ID:  1 </t>
  </si>
  <si>
    <t>Allegato B</t>
  </si>
  <si>
    <t xml:space="preserve">Allegato “A” al Rep.  N. 10711 di Racc. N. 7935    </t>
  </si>
  <si>
    <t>A R.L.”.</t>
  </si>
  <si>
    <t>2. SEDE</t>
  </si>
  <si>
    <t>La società ha sede nel comune di Genova all’indirizzo iscrio nel registro delle imprese.</t>
  </si>
  <si>
    <t>casse di risparmio, istu di credito e ﬁnanziari in genere.</t>
  </si>
  <si>
    <t>deliberazione dell’assemblea.</t>
  </si>
  <si>
    <t>nei limi consen dalla legge, terrà luogo delle risultanze del registro delle imprese.</t>
  </si>
  <si>
    <t>La decisione relava all'emissione dei toli di debito è aribuita alla competenza dei soci</t>
  </si>
  <si>
    <t xml:space="preserve">7.2 Diri parcolari </t>
  </si>
  <si>
    <t>d) non si applica alle cessioni a qualunque tolo eﬀeuate nei confron di coniugi e ﬁgli.</t>
  </si>
  <si>
    <t xml:space="preserve">soci, ed in parcolare a condizione che: </t>
  </si>
  <si>
    <t xml:space="preserve">nell'ordine, al Vicepresidente e all'amministratore delegato, se nomina. </t>
  </si>
  <si>
    <t>È escluso, in ogni caso, il voto a scrunio segreto.</t>
  </si>
  <si>
    <t xml:space="preserve">Quando la società è amministrata dal Consiglio il funzionamento di esso è così regolato: </t>
  </si>
  <si>
    <t xml:space="preserve">Consiglio stesso. </t>
  </si>
  <si>
    <t>estranei al consiglio.</t>
  </si>
  <si>
    <t>il relavo fondo di quiescenza. Si applica altresì l'arcolo 2389, terzo comma, del Codice civile.</t>
  </si>
  <si>
    <t xml:space="preserve">11. CONTROLLO DI GESTIONE - REVISIONE LEGALE DEI CONTI </t>
  </si>
  <si>
    <t>b) potranno essere aﬃdate a sogge disn, tu aven i requisi di legge.</t>
  </si>
  <si>
    <t>dell'art. 2364 c.c.</t>
  </si>
  <si>
    <t>maggioranza semplice del capitale sociale.</t>
  </si>
  <si>
    <t>c.c.</t>
  </si>
  <si>
    <t>DENOMINAZIONE - SEDE - ATTIVITA' - DURATA</t>
  </si>
  <si>
    <t>GROUP DI ROMEO s.r.l." .</t>
  </si>
  <si>
    <t xml:space="preserve">ambito civile o industriale; </t>
  </si>
  <si>
    <t xml:space="preserve">ti civili e industriali; </t>
  </si>
  <si>
    <t xml:space="preserve">spegnimento di incendio e impianti di sanificazione; </t>
  </si>
  <si>
    <t>stazione di garanzie reali e non reali.</t>
  </si>
  <si>
    <t>CAPITALE SOCIALE - FINANZIAMENTO SOCI</t>
  </si>
  <si>
    <t>sovrapprezzo delle quote.</t>
  </si>
  <si>
    <t>nata in misura proporzionale al conferimento.</t>
  </si>
  <si>
    <t>artt.1105 e 1106 del cod.civ.</t>
  </si>
  <si>
    <t>MENTO DELL’ASSEMBLEA - MAGGIORANZA</t>
  </si>
  <si>
    <t xml:space="preserve">ARTICOLO 11 </t>
  </si>
  <si>
    <t>diritto di voto.</t>
  </si>
  <si>
    <t>senso espresso per iscritto.</t>
  </si>
  <si>
    <t>nel libro delle decisioni dei soci.</t>
  </si>
  <si>
    <t>sulti legalmente costituita.</t>
  </si>
  <si>
    <t>dell'Assemblea ed accertare i risultati delle votazioni.</t>
  </si>
  <si>
    <t>stratori o a sindaci, se nominati, o al revisore, se nominato.</t>
  </si>
  <si>
    <t xml:space="preserve">condizione che: </t>
  </si>
  <si>
    <t>all’ordine del giorno.</t>
  </si>
  <si>
    <t>in cui il nuovo organo amministrativo è stato ricostituito.</t>
  </si>
  <si>
    <t>tori generali.</t>
  </si>
  <si>
    <t>dagli amministratori a maggioranza calcolata per teste.</t>
  </si>
  <si>
    <t>tere documenti.</t>
  </si>
  <si>
    <t>no individualmente o congiuntamente.</t>
  </si>
  <si>
    <t>dei poteri conferiti.</t>
  </si>
  <si>
    <t>ORGANO di CONTROLLO</t>
  </si>
  <si>
    <t>limitazioni stabilite dalla legge.</t>
  </si>
  <si>
    <t>gioni della dilazione.</t>
  </si>
  <si>
    <t>SCIOGLIMENTO E LIQUIDAZIONE</t>
  </si>
  <si>
    <t xml:space="preserve">DISPOSIZIONI GENERALI  </t>
  </si>
  <si>
    <t>di loro, è quello che risulta dal Registro delle Imprese.</t>
  </si>
  <si>
    <t>si rinvia alla normativa vigente in materia.</t>
  </si>
  <si>
    <r>
      <t xml:space="preserve">    </t>
    </r>
    <r>
      <rPr>
        <sz val="9"/>
        <color rgb="FFA31515"/>
        <rFont val="Consolas"/>
        <family val="3"/>
      </rPr>
      <t>"unica società benefit a r.l."</t>
    </r>
    <r>
      <rPr>
        <sz val="9"/>
        <color rgb="FF3B3B3B"/>
        <rFont val="Consolas"/>
        <family val="3"/>
      </rPr>
      <t xml:space="preserve">: {                                                                                                          </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</si>
  <si>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 xml:space="preserve">"130"                                                                                                                              </t>
    </r>
    <r>
      <rPr>
        <sz val="9"/>
        <rFont val="Consolas"/>
        <family val="3"/>
      </rPr>
      <t xml:space="preserve"> (ALLUCINAZIONE: sbagliato il numero centottanta  con centotrenta)</t>
    </r>
  </si>
  <si>
    <t>quote sociali oggetto di trasferimento per atto tra vivi. Tale d iritto p otrà e ssere e sercitato a  parità d i p rezzo e</t>
  </si>
  <si>
    <t>partecipazione con effetto verso la società. 6.2.1 I l s ocio o  i  s oci c he d ichiareranno d i v oler</t>
  </si>
  <si>
    <t>tutto ciò ai sensi dell'art.2359 n.1 e n.3 c.c. c) i n c aso d i i ntestazione a  s ocietà f iduciaria o  d i s ua</t>
  </si>
  <si>
    <t>disgiunti o da esercitarsi a maggioranza. Qualora v engano n ominati d ue o  p iù a mministratori s enza</t>
  </si>
  <si>
    <t>idonei l 'invio a  mezzo f ax e d a  m ezzo p osta e lettronica. L'avviso d eve e ssere s pedito a lmeno o tto g iorni p rima</t>
  </si>
  <si>
    <t>amministratori. 11.9 Il c onsiglio p uò r iunirsi e  v alidamente d eliberare</t>
  </si>
  <si>
    <t>quiescenza con modalità stabilite con decisione dei soci. 14.3 In c aso d i n omina d i u n c omitato e secutivo o  d i</t>
  </si>
  <si>
    <t>nominare un organo di controllo o un revisore. La n omina d ell'organo d i c ontrollo o  d el r evisore è</t>
  </si>
  <si>
    <t>collegio sindacale previste per le società per azioni. 15.3 L a r evisione l egale d ei  c onti d ella s ocietà v iene</t>
  </si>
  <si>
    <t>ovvero dall'organo di controllo ove consentito dalla legge. Le r iunioni d ell'organo  d i c ontrollo i n c omposizione</t>
  </si>
  <si>
    <t>sottopongono alla loro approvazione. 16.2 Non è  n ecessaria l a d ecisione d ei s oci c he a utorizzi</t>
  </si>
  <si>
    <t>soci a cura dell'Organo Amministrativo. L'Organo A mministrativo p rovvederà a  r edigere a pposito</t>
  </si>
  <si>
    <t>inviato ai soci con le modalità previste dall'articolo 16.3. Si a pplicano a nche a  t ale p rocedura d i f ormazione d ella</t>
  </si>
  <si>
    <t>Italia. In c aso d i i mpossibilità d i t utti g li a mministratori o  d i</t>
  </si>
  <si>
    <t>richiedono diverse specifiche maggioranze. 21.3 Nei c asi i n c ui p er l egge o  in v irtù d el p resente</t>
  </si>
  <si>
    <t>imputazione a capitale e per copertura di eventuali perdite. La s tessa d ovrà e ssere r eintegrata a  n orma d ell'art. 2 463</t>
  </si>
  <si>
    <t>fino a che questa non abbia raggiunto il quinto del capitale. Gli u tili r esidui v erranno r ipartiti t ra i  soci i n m isura</t>
  </si>
  <si>
    <t>legge. 23.2 Addivenendosi i n q ualsiasi t empo, e  p er q ualsiasi</t>
  </si>
  <si>
    <t xml:space="preserve"> Allegato “A” al Rep. N. 10711 di Racc. N. 7935    </t>
  </si>
  <si>
    <t>A R.L.”. 2. SEDE</t>
  </si>
  <si>
    <t>La società ha sede nel comune di Genova all’indirizzo iscrio nel registro delle imprese. 3. ATTIVITA' SOCIALE</t>
  </si>
  <si>
    <t xml:space="preserve">dell’uomo. Ha altresì come scopo il perseguimento di un ule derivante dalla vendita di servizi, sostenendo la </t>
  </si>
  <si>
    <t xml:space="preserve">impegno in una auspicata prospera avità economica. 3.2. La Società, a mezzo decisione dell'organo amministravo, comunicata nella prima assemblea successiva </t>
  </si>
  <si>
    <t xml:space="preserve">beneﬁcio comune. 3.3. Il soggeo responsabile è denominato "Responsabile dell'Impao". </t>
  </si>
  <si>
    <t xml:space="preserve">Quest'ulmo risponderà nei limi dei </t>
  </si>
  <si>
    <t xml:space="preserve">l'approvazione del bilancio relavo all'ulmo esercizio della carica ed è rieleggibile. 3.4. L'Organo Amministravo redige annualmente una relazione relava al perseguimento del beneﬁcio </t>
  </si>
  <si>
    <t xml:space="preserve">dovesse ritenere ule ai ﬁni della massimizzazione della trasparenza. 3.5. La valutazione dell'impao generato dal perseguimento delle ﬁnalità di beneﬁcio comune verrà eﬀeuata </t>
  </si>
  <si>
    <t xml:space="preserve">dalla Società sulla base delle caraerische individuate dagli standard di valutazione previs dalla legge. 3.6. </t>
  </si>
  <si>
    <t xml:space="preserve">immobiliari, ritenute dall'organo amministravo uli o necessarie per il conseguimento dell'oggeo sociale. Potrà altresì assumere partecipazioni od interessenze in altre società, consorzi, en, società consorli, nei </t>
  </si>
  <si>
    <t xml:space="preserve">dalla legge e riservate agli iscri a collegi, ordini od albi professionali. 3.8. La Società potrà compiere qualsiasi operazione mobiliare, immobiliare, industriale, commerciale e </t>
  </si>
  <si>
    <t>casse di risparmio, istu di credito e ﬁnanziari in genere. 4. DURATA</t>
  </si>
  <si>
    <t xml:space="preserve">deliberazione dell’assemblea. 5. </t>
  </si>
  <si>
    <t>RAPPORTI CON I SOCI</t>
  </si>
  <si>
    <t>nei limi consen dalla legge, terrà luogo delle risultanze del registro delle imprese. 6. CAPITALE - FINANZIAMENTI</t>
  </si>
  <si>
    <t>Il capitale è di euro 12.000,00 (dodicimila virgola zero zero). 6.2 Aumento del capitale sociale</t>
  </si>
  <si>
    <t xml:space="preserve">quanto deciso dai soci. Le partecipazioni dei soci possono essere determinate anche in misura non proporzionale ai rispevi </t>
  </si>
  <si>
    <t xml:space="preserve">conferimen. Il dirio di sooscrizione preferenziale previsto dalla legge in caso di aumento del capitale sociale non spea </t>
  </si>
  <si>
    <t>nei casi in cui l'aumento debba essere eseguito mediante conferimen in natura. -------THIS IS A CUSTOM END OF PAGE-------</t>
  </si>
  <si>
    <t xml:space="preserve">in favore dei soci che non abbiano consento alla decisione, il dirio di recesso di cui all'art. 2473 c.c. </t>
  </si>
  <si>
    <t>e credizia, sono improduvi di interessi salva diversa decisione dei soci. 6.4 Emissione di toli di debito</t>
  </si>
  <si>
    <t>La società può emeere toli di debito ai sensi dell'art. 2483 c.c. La decisione relava all'emissione dei toli di debito è aribuita alla competenza dei soci</t>
  </si>
  <si>
    <t>quanto eventualmente previsto nel presente statuto. 7.2 Diri parcolari</t>
  </si>
  <si>
    <t xml:space="preserve">patrimoniali, nei limi di legge. De diri sono modiﬁcabili con decisione unanime dei soci. Il trasferimento della partecipazione in tuo o in parte, per ao tra vivi ovvero per causa di morte (sia essa a </t>
  </si>
  <si>
    <t xml:space="preserve">al de cuius. </t>
  </si>
  <si>
    <t>In tali casi, de diri parcolari si esnguono. 7.3 Prelazione</t>
  </si>
  <si>
    <t xml:space="preserve">altri soci. Ques ulmi potranno rendersi acquiren della quota da alienare in proporzione delle quote rispevamente </t>
  </si>
  <si>
    <t xml:space="preserve">come infra meglio precisato. Il dirio di prelazione statutaria è esercitabile a parità di condizioni, per cui il socio che lo esercita dovrà </t>
  </si>
  <si>
    <t xml:space="preserve">terzo proponente l'acquisto e dovrà concludere il contrao alle medesime condizioni negoziali. Nel caso di trasferimen gratui, liberali ovvero onerosi ma contro corrispevo infungibile, il valore della </t>
  </si>
  <si>
    <t xml:space="preserve">contestazione ovvero, in caso di disaccordo, dal Presidente del Tribunale competente per territorio. L'arbitratore nominato agirà ai sensi dell'art. </t>
  </si>
  <si>
    <t xml:space="preserve">1349, comma 1, c.c. La comunicazione di alienazione dovrà indicare, in ogni caso espressamente, le generalità del terzo </t>
  </si>
  <si>
    <t xml:space="preserve">per espresso pao, natura di proposta, ancorché revocabile nei termini e nei modi di legge. Entro 30 (trenta) giorni da quello in cui è faa la comunicazione i soci dovranno comunicare all'organo </t>
  </si>
  <si>
    <t xml:space="preserve">amministravo se intendono acquistare. In mancanza di tale comunicazione nell'indicato termine, si considerano rinunciatari. In tal caso la quota </t>
  </si>
  <si>
    <t xml:space="preserve">rispevamente possedute) che avranno nei termini comunicato di voler acquistare. </t>
  </si>
  <si>
    <t xml:space="preserve">dalla scadenza del termine di esercizio). Copia dell’ao di trasferimento, con indicazione del prezzo della vendita, dovrà essere inviato, nei successivi </t>
  </si>
  <si>
    <t xml:space="preserve">trasferimento, se non conformandosi nuovamente alle disposizioni di cui al presente arcolo. </t>
  </si>
  <si>
    <t>d) non si applica alle cessioni a qualunque tolo eﬀeuate nei confron di coniugi e ﬁgli. 8. DECISIONI DEI SOCI</t>
  </si>
  <si>
    <t xml:space="preserve">approvazione. Le decisioni dei soci possono essere adoate mediante deliberazione assembleare ai sensi dell'art. 2479-bis </t>
  </si>
  <si>
    <t xml:space="preserve">c.c. ovvero mediante consultazione scria o sulla base del consenso espresso per iscrio. Le decisioni dei soci devono essere adoate in forma assembleare nelle materie di cui all'art. 2479, comma </t>
  </si>
  <si>
    <t xml:space="preserve">2, nn. </t>
  </si>
  <si>
    <t xml:space="preserve">4) e 5) c.c. e nelle altre materie eventualmente previste dal presente ao ovvero quando lo richiedano </t>
  </si>
  <si>
    <t>uno o più amministratori o tan soci che rappresenno almeno un terzo del capitale sociale. 8.2 Consultazione scria o consenso espresso per iscrio</t>
  </si>
  <si>
    <t xml:space="preserve">risultare con chiarezza l'argomento oggeo della decisione ed il consenso alla stessa. Le decisioni dei soci fuori dal metodo assembleare sono assunte con il voto f avorevole di tan soci che </t>
  </si>
  <si>
    <t>materie maggioranze diverse. 8.3 Assemblea dei soci</t>
  </si>
  <si>
    <t xml:space="preserve">quello ﬁssato per l'adunanza o, se inviato successivamente, ricevuto almeno 5 (cinque) giorni prima. L'avviso di convocazione può essere inviato con qualsiasi mezzo che assicuri la prova dell'avvenuto </t>
  </si>
  <si>
    <t>ricevimento. 8.3.2 Luogo di riunione</t>
  </si>
  <si>
    <t xml:space="preserve">dell'Unione Europea, secondo quanto stabilito nell'avviso di convocazione. </t>
  </si>
  <si>
    <t>all'ordine del giorno. 8.3.4 Quorum costuvi e deliberavi</t>
  </si>
  <si>
    <t>metà del capitale sociale e delibera validamente con lo stesso quorum. -------THIS IS A CUSTOM END OF PAGE-------</t>
  </si>
  <si>
    <t xml:space="preserve">dei soci che rappresentano almeno l’65% del capitale sociale. Sono valide le assemblee totalitarie ai sensi di legge. </t>
  </si>
  <si>
    <t xml:space="preserve">nell'ordine, al Vicepresidente e all'amministratore delegato, se nomina. Nei casi di legge ed inoltre quando il presidente dell'assemblea lo ritenga opportuno il verbale viene redao </t>
  </si>
  <si>
    <t>da un notaio. 8.3.6 Sistemi di votazione</t>
  </si>
  <si>
    <t>nominale. È escluso, in ogni caso, il voto a scrunio segreto. 9. AMMINISTRAZIONE</t>
  </si>
  <si>
    <t xml:space="preserve">competenza collegiale dell'organo amministravo. La decisione dei soci individua il sistema di amministrazione e ﬁssa il numero degli amministratori; nel caso </t>
  </si>
  <si>
    <t xml:space="preserve">poteri. </t>
  </si>
  <si>
    <t xml:space="preserve">dell'art. 2257 c.c. e al secondo comma dell'art. 2258 c.c. è  adoata dai soci con il voto favorevole della </t>
  </si>
  <si>
    <t>maggioranza del capitale. I componen dell'organo amministravo:</t>
  </si>
  <si>
    <t xml:space="preserve">d) possono essere coopta nei casi e con le modalità di legge. Tuavia, in caso di amministrazione aﬃdata ad organo collegiale, il venir meno, per qualunque causa, della </t>
  </si>
  <si>
    <t xml:space="preserve">maggioranza dei consiglieri comporta decadenza dell'intero consiglio. </t>
  </si>
  <si>
    <t xml:space="preserve">nomina. Gli amministratori, qualora lo ritengano opportuno, possono sooporre ai soci il compimento di un ao di </t>
  </si>
  <si>
    <t>gesone, per acquisirne il parere, che, comunque, non è da ritenersi vincolante. 9.3 Rappresentanza della società</t>
  </si>
  <si>
    <t xml:space="preserve">indica nel presente arcolo, ciascuno nell'ambito dei propri poteri. </t>
  </si>
  <si>
    <t xml:space="preserve">generale della società, ferma la speanza all'organo collegiale di tu i poteri di gesone. Il consiglio di amministrazione potrà deliberare l'aribuzione di deleghe ad un comitato esecuvo, composto </t>
  </si>
  <si>
    <t xml:space="preserve">delega non potrà essere aribuito alcuno dei poteri e delle avità non delegabili per legge. Il Presidente o l'Amministratore delegato - quest'ulmo nell'ambito dei poteri delega - daranno esecuzione </t>
  </si>
  <si>
    <t xml:space="preserve">investura in sede di deliberazione. Le cariche di Presidente (o di Vicepresidente) e di amministratore delegato sono cumulabili. </t>
  </si>
  <si>
    <t xml:space="preserve">dagli amministratori risulno con chiarezza l'argomento oggeo della decisione ed il consenso alla stessa. Ove anche uno solo dei membri del consiglio non sia d'accordo sulla deroga al metodo collegiale ed in ogni </t>
  </si>
  <si>
    <t>decisione gestoria, il consiglio dovrà funzionare secondo le disposizioni che seguono. 9.4.3 Convocazione e riunione</t>
  </si>
  <si>
    <t xml:space="preserve">in ogni caso ogni diversa disposizione di legge. Di regola la convocazione è faa almeno cinque giorni liberi prima della riunione. Nei casi di urgenza il termine </t>
  </si>
  <si>
    <t xml:space="preserve">può essere più breve ma non inferiore a due giorni lavoravi. Il Consiglio è validamente riunito, anche in mancanza di regolare avviso di convocazione, qualora siano </t>
  </si>
  <si>
    <t xml:space="preserve">presen tu gli aven dirio. </t>
  </si>
  <si>
    <t xml:space="preserve">Consiglio stesso. Il consiglio può radunarsi per video e/o audio conferenza, a condizione che tu i partecipan possano essere </t>
  </si>
  <si>
    <t>luogo in cui si trovano il Presidente e il Segretario. 9.4.4 Deliberazioni</t>
  </si>
  <si>
    <t>in carica. Le deliberazioni si prendono a maggioranza assoluta degli intervenu. 9.4.5 Verbalizzazioni</t>
  </si>
  <si>
    <t>estranei al consiglio. 10. COMPENSO DEGLI AMMINISTRATORI</t>
  </si>
  <si>
    <t xml:space="preserve">Agli Amministratori spea il rimborso delle spese sostenute per ragioni del loro uﬃcio. I soci possono inoltre assegnare agli amministratori un compenso da determinarsi con decisione valida ﬁno a </t>
  </si>
  <si>
    <t xml:space="preserve">il relavo fondo di quiescenza. Si applica altresì l'arcolo 2389, terzo comma, del Codice civile. 11. </t>
  </si>
  <si>
    <t>CONTROLLO DI GESTIONE - REVISIONE LEGALE DEI CONTI</t>
  </si>
  <si>
    <t>entrambi muni dei requisi di legge. Con decisione dei soci le stesse funzioni:</t>
  </si>
  <si>
    <t>b) potranno essere aﬃdate a sogge disn, tu aven i requisi di legge. 12. ESERCIZIO SOCIALE - BILANCI</t>
  </si>
  <si>
    <t xml:space="preserve">L'esercizio sociale si chiude al 31 dicembre di ogni anno. Il bilancio di esercizio deve essere presentato ai soci per l'approvazione entro centoven giorni dalla chiusura </t>
  </si>
  <si>
    <t xml:space="preserve">dell'art. </t>
  </si>
  <si>
    <t>2364 c.c. 13. UTILI</t>
  </si>
  <si>
    <t>maggioranza semplice del capitale sociale. 14. SCIOGLIMENTO E LIQUIDAZIONE</t>
  </si>
  <si>
    <t>c.c. 15. RECESSO ED ESCLUSIONE</t>
  </si>
  <si>
    <t>caso nei tempi, con le modalità e con i diri di legge. 15.2 Esclusione</t>
  </si>
  <si>
    <t>Non sono previste cause di esclusione. F.to Mario Allegre</t>
  </si>
  <si>
    <t>SENSI DELL'ART. 20 COMMA 3 D.P.R. 445/2000, CHE SI TRASMETTE AD USO REGISTRO IMPRESE. -------THIS IS A CUSTOM END OF PAGE-------</t>
  </si>
  <si>
    <t xml:space="preserve"> - Allegato "B" al numero 25176 di raccolta. STATUTO della società </t>
  </si>
  <si>
    <t>GROUP DI ROMEO s.r.l." . ARTICOLO 2</t>
  </si>
  <si>
    <t xml:space="preserve">dice civile. Spetta all'Assemblea dei soci deliberare l'istituzione e la </t>
  </si>
  <si>
    <t xml:space="preserve">soppressione di sedi secondarie. L’Organo Amministrativo ha la facoltà di istituire e di sop- </t>
  </si>
  <si>
    <t xml:space="preserve">navigazione. </t>
  </si>
  <si>
    <t xml:space="preserve">elettrica ed elettronica, in ambiti civili ed industriali. </t>
  </si>
  <si>
    <t>manifestazioni. 3</t>
  </si>
  <si>
    <t xml:space="preserve">fessionale richiesta. 3.2 Ai sensi di legge, la società nominerà uno o più respon- </t>
  </si>
  <si>
    <t xml:space="preserve">professionale per dirigere l'attività sociale. - La società si propone di realizzare il fine sociale anche </t>
  </si>
  <si>
    <t xml:space="preserve">stesse. La società potrà assumere partecipazioni sociali sia in Ita- </t>
  </si>
  <si>
    <t xml:space="preserve">terminato dallo statuto. </t>
  </si>
  <si>
    <t>stazione di garanzie reali e non reali. ARTICOLO 4</t>
  </si>
  <si>
    <t>cembre duemilasessanta (31 dicembre 2060). CAPITALE SOCIALE - FINANZIAMENTO SOCI</t>
  </si>
  <si>
    <t xml:space="preserve">sura proporzionale al conferimento. I diritti sociali spettano ai soci in misura proporzionale </t>
  </si>
  <si>
    <t xml:space="preserve">alla partecipazione da ciascuno posseduta. 5.2 La società potrà aumentare il capitale sia mediante nuovi </t>
  </si>
  <si>
    <t xml:space="preserve">conferimenti, sia mediante passaggio di riserve a capitale. L’aumento di capitale mediante nuovi conferimenti potrà avve- </t>
  </si>
  <si>
    <t>le di valutazione economica. 4</t>
  </si>
  <si>
    <t xml:space="preserve">la prestazione d’opera o di servizi a favore della società. </t>
  </si>
  <si>
    <t xml:space="preserve">zioni da essi possedute. Se la delibera non lo esclude, qualora l’aumento di capitale </t>
  </si>
  <si>
    <t xml:space="preserve">ne sociale. 5.4 L’assemblea che delibera l’aumento del capitale può sta- </t>
  </si>
  <si>
    <t xml:space="preserve">art.28. 5.5 In ogni caso, il diritto di sottoscrizione delle quote </t>
  </si>
  <si>
    <t xml:space="preserve">2) se l’interesse della società lo esige. In tali ipotesi la proposta di aumento deve essere illustrata </t>
  </si>
  <si>
    <t xml:space="preserve">di quello fissato per l’Assemblea. In ogni caso, quando il diritto di sottoscrizione resta e- </t>
  </si>
  <si>
    <t xml:space="preserve">art.28. La delibera di aumento del capitale può prevedere l’eventuale </t>
  </si>
  <si>
    <t xml:space="preserve">bligo per la società della restituzione dei medesimi. Pertanto, qualora si ravvisi la necessità, per il raggiungi- </t>
  </si>
  <si>
    <t>siderarsi improduttivi di interessi, salvo patto contrario. 5</t>
  </si>
  <si>
    <t xml:space="preserve">la società dovrà essere restituito. </t>
  </si>
  <si>
    <t xml:space="preserve">zione. PARTECIPAZIONI - TRASFERIMENTO DELLE PARTECIPAZIONI </t>
  </si>
  <si>
    <t xml:space="preserve">montare inferiore ad un Euro o multipli di Euro. 7.2 I diritti sociali spettano ai soci in misura proporziona- </t>
  </si>
  <si>
    <t>nata in misura proporzionale al conferimento. ARTICOLO 8</t>
  </si>
  <si>
    <t>artt.1105 e 1106 del cod.civ. ARTICOLO 9</t>
  </si>
  <si>
    <t xml:space="preserve">guente disciplina. 9.2 Per “trasferimento” si intende il trasferimento per atto </t>
  </si>
  <si>
    <t xml:space="preserve">tra vivi. 9.3 Nella dizione “trasferimento per atto tra vivi” s'inten- </t>
  </si>
  <si>
    <t xml:space="preserve">to nel presente articolo. </t>
  </si>
  <si>
    <t xml:space="preserve">verso la società. 9.5 Le partecipazioni sono divisibili e liberamente trasferi- </t>
  </si>
  <si>
    <t xml:space="preserve">ta. 9.6 Pertanto il socio che intende vendere o comunque trasfe- </t>
  </si>
  <si>
    <t xml:space="preserve">ferta di prelazione. 9.7 Nell'ipotesi di esercizio del diritto di prelazione da </t>
  </si>
  <si>
    <t xml:space="preserve">partecipazione da ciascuno di essi posseduta. </t>
  </si>
  <si>
    <t xml:space="preserve">Se qualcuno de- </t>
  </si>
  <si>
    <t xml:space="preserve">prelazione loro spettante. 9.8 La comunicazione dell’intenzione di trasferire la parte- </t>
  </si>
  <si>
    <t xml:space="preserve">nella denuntiatio. 9.9 La prelazione deve essere esercitata per il prezzo indi- </t>
  </si>
  <si>
    <t xml:space="preserve">cato dall'offerente. 9.10 Qualora il prezzo richiesto sia ritenuto eccessivo da u- </t>
  </si>
  <si>
    <t xml:space="preserve">sta della parte più diligente. </t>
  </si>
  <si>
    <t xml:space="preserve">Nell'effettuare la sua deter- </t>
  </si>
  <si>
    <t xml:space="preserve">cietà. 9.11 Le partecipazioni sono liberamente trasferibili per suc- </t>
  </si>
  <si>
    <t xml:space="preserve">un rappresentante comune. - EMISSIONE DI TITOLI DI DEBITO - </t>
  </si>
  <si>
    <t xml:space="preserve">gli effetti dell’art.2483 cod.civ. 10.2 I titoli devono essere nominativi e devono riportare le </t>
  </si>
  <si>
    <t xml:space="preserve">6) firma degli amministratori della società. </t>
  </si>
  <si>
    <t xml:space="preserve">ciale. La medesima decisione deve provvedere alla regolamentazione </t>
  </si>
  <si>
    <t xml:space="preserve">5) l’investitore professionale che sottoscriverà i titoli. DECISIONE DEI SOCI - MODALITÀ - ASSEMBLEA DEI SOCI - SVOLGI- </t>
  </si>
  <si>
    <t>sottopongono alla loro approvazione. 8</t>
  </si>
  <si>
    <t xml:space="preserve">pazione. 11.3 Hanno diritto di intervenire all'assemblea i soci che </t>
  </si>
  <si>
    <t>diritto di voto. ARTICOLO 12</t>
  </si>
  <si>
    <t xml:space="preserve">senso espresso per iscritto. ARTICOLO 13 </t>
  </si>
  <si>
    <t xml:space="preserve">il terzo del capitale sociale. Essa consiste in una proposta di deliberazione che dovrà es- </t>
  </si>
  <si>
    <t xml:space="preserve">neo ad assicurare la prova dell’avvenuto ricevimento. Dalla proposta deve risultare con chiarezza l’esatto testo </t>
  </si>
  <si>
    <t xml:space="preserve">della decisione da adottare. I soci hanno quindici giorni per trasmettere presso la sede </t>
  </si>
  <si>
    <t xml:space="preserve">non inferiore a dieci giorni e non superiore a trenta giorni. Il voto può consistere in una approvazione, in un diniego ov- </t>
  </si>
  <si>
    <t xml:space="preserve">vero in una astensione espressa. La mancanza di risposta da parte di uno dei soci entro il </t>
  </si>
  <si>
    <t xml:space="preserve">suddetto termine viene considerata come voto contrario. La decisione è assunta soltanto qualora pervengano presso la </t>
  </si>
  <si>
    <t xml:space="preserve">socio consenziente si dichiari sufficientemente informato. I consensi possono essere trasmessi presso la sede sociale </t>
  </si>
  <si>
    <t xml:space="preserve">nuto consenso. La decisione è assunta soltanto qualora pervengano presso la </t>
  </si>
  <si>
    <t xml:space="preserve">tale sociale. 13.3 Spetta all’Organo Amministrativo raccogliere le consul- </t>
  </si>
  <si>
    <t xml:space="preserve">sta, se richieste dai soci. Tutti i documenti attestanti la consultazione ed il consenso </t>
  </si>
  <si>
    <t xml:space="preserve">cietà, unitamente al libro delle decisioni dei soci. 13.4 Le decisioni adottate ai sensi del presente articolo as- </t>
  </si>
  <si>
    <t xml:space="preserve">nel libro delle decisioni dei soci. ARTICOLO 14 </t>
  </si>
  <si>
    <t xml:space="preserve">14.1 L’Assemblea dei soci di cui all’art. </t>
  </si>
  <si>
    <t xml:space="preserve">2479-bis è convoca- </t>
  </si>
  <si>
    <t xml:space="preserve">cui all’art. 2479- bis, 5° comma, c.c. 14.2 Nell’avviso di convocazione devono essere indicati il </t>
  </si>
  <si>
    <t xml:space="preserve">rie da trattare. Nell’avviso di convocazione può essere prevista una data ul- </t>
  </si>
  <si>
    <t xml:space="preserve">della maggioranza dei presenti. 15.2 Il Presidente dell'Assemblea nomina ed è assistito da un </t>
  </si>
  <si>
    <t xml:space="preserve">segretario e designato dal Presidente dell'Assemblea. 15.3 Spetta al Presidente dell'Assemblea constatare la rego- </t>
  </si>
  <si>
    <t>dell'Assemblea ed accertare i risultati delle votazioni. ARTICOLO 16</t>
  </si>
  <si>
    <t xml:space="preserve">comma, n. 2. Nella delega deve essere specificato il nome del rappresen- </t>
  </si>
  <si>
    <t xml:space="preserve">tante. Se la delega viene conferita per la singola assemblea, essa </t>
  </si>
  <si>
    <t xml:space="preserve">ha effetto anche per la seconda convocazione. 16.2 La rappresentanza non può essere conferita ad ammini- </t>
  </si>
  <si>
    <t xml:space="preserve">zione degli obblighi di deposito o di pubblicazione. 17.2 Il verbale è sottoscritto dal Presidente e dal Segreta- </t>
  </si>
  <si>
    <t xml:space="preserve">rio o dal Notaio, se richiesto dalla legge. 17.3 Il verbale relativo alle delibere assembleari comportan- </t>
  </si>
  <si>
    <t xml:space="preserve">un Notaio. 17.4 Il verbale dell'assemblea, anche se redatto per atto </t>
  </si>
  <si>
    <t xml:space="preserve">delle decisioni dei soci. 17.5 L’Assemblea potrà svolgersi in videoconferenza o in te- </t>
  </si>
  <si>
    <t xml:space="preserve">golarmente costituita ai sensi dell’art. </t>
  </si>
  <si>
    <t xml:space="preserve">2479-bis, siano in- </t>
  </si>
  <si>
    <t xml:space="preserve">all’ordine del giorno. ARTICOLO 18 </t>
  </si>
  <si>
    <t xml:space="preserve">capitale sociale. 18.2 Nel caso di decisione assunta mediante consultazione </t>
  </si>
  <si>
    <t xml:space="preserve">maggioranza del capitale sociale. </t>
  </si>
  <si>
    <t>c.c. è necessario il consenso di tutti i soci. AMMINISTRAZIONE</t>
  </si>
  <si>
    <t xml:space="preserve">soci presa ai sensi dell'art. 2479 c.c. 19.2 La società può essere amministrata, alternativamente, su </t>
  </si>
  <si>
    <t xml:space="preserve">ti o da esercitarsi a maggioranza. Qualora vengono nominati due o più amministratori senza alcu- </t>
  </si>
  <si>
    <t xml:space="preserve">ministrazione. 19.3 Gli amministratori possono essere anche non soci e re- </t>
  </si>
  <si>
    <t xml:space="preserve">determinato dai soci al momento della nomina. Gli amministratori sono rieleggibili. La cessazione degli am- </t>
  </si>
  <si>
    <t xml:space="preserve">in cui il nuovo organo amministrativo è stato ricostituito. ARTICOLO 20 </t>
  </si>
  <si>
    <t xml:space="preserve">zionamento, alla decisione dei soci in sede di nomina. </t>
  </si>
  <si>
    <t>tori generali. ARTICOLO 21</t>
  </si>
  <si>
    <t xml:space="preserve">ste costituiscono il consiglio di amministrazione. 21.2 Tuttavia, salvo quanto per legge riservato alla compe- </t>
  </si>
  <si>
    <t>dagli amministratori a maggioranza calcolata per teste. ARTICOLO 22</t>
  </si>
  <si>
    <t xml:space="preserve">Presidente e il vice-Presidente se non già nominati dai soci. Nel caso di decisione collegiale il consiglio si riunisce </t>
  </si>
  <si>
    <t xml:space="preserve">faccia domanda uno dei Consiglieri. 22.2 L'avviso di convocazione deve essere inviato ai Consi- </t>
  </si>
  <si>
    <t xml:space="preserve">elettronica notificato alla società. L’avviso dovrà indicare la data, l'ora ed il luogo della riu- </t>
  </si>
  <si>
    <t xml:space="preserve">nione, e gli argomenti da trattare. Nei casi di urgenza il termine potrà essere ridotto ad un </t>
  </si>
  <si>
    <t xml:space="preserve">telefax, messaggio SMS o messaggio di posta elettronica. 22.3 La riunione collegiale è validamente costituita purché </t>
  </si>
  <si>
    <t xml:space="preserve">tori. </t>
  </si>
  <si>
    <t xml:space="preserve">Le deliberazioni sono prese con il voto favorevole del- </t>
  </si>
  <si>
    <t xml:space="preserve">potrà essere anche estraneo al Consiglio. 22.4 E' possibile tenere le riunioni del Consiglio di Ammini- </t>
  </si>
  <si>
    <t>tere documenti. ARTICOLO 23</t>
  </si>
  <si>
    <t>dei poteri conferiti. ARTICOLO 25</t>
  </si>
  <si>
    <t xml:space="preserve">stenute per ragioni del loro ufficio. I soci possono, inoltre, assegnare agli amministratori un </t>
  </si>
  <si>
    <t xml:space="preserve">netti di esercizio. I soci possono, altresì, accantonare a favore degli stessi </t>
  </si>
  <si>
    <t>dalla vigente normativa in materia. ORGANO di CONTROLLO</t>
  </si>
  <si>
    <t xml:space="preserve">ai sensi dell'art.2477 cod.civ. 26.2 L'organo di controllo obbligatorio è monocratico. </t>
  </si>
  <si>
    <t xml:space="preserve">legale dei conti. 27.2 Contestualmente o in alternativa alla nomina dell'Organo </t>
  </si>
  <si>
    <t xml:space="preserve">ne legale dei conti a un Revisore esterno. 27.3 Nel caso di nomina dell'Organo di controllo, si applica- </t>
  </si>
  <si>
    <t xml:space="preserve">cietà per azioni. 27.4 Nel caso di nomina di un Revisore esterno, si applicano </t>
  </si>
  <si>
    <t xml:space="preserve">di revisore legale ad esso eventualmente affidata. 27.5 Anche in assenza di un obbligo di legge, i soci possono </t>
  </si>
  <si>
    <t xml:space="preserve">sindacale previste per le società per azioni. RECESSO DEL SOCIO </t>
  </si>
  <si>
    <t>limitazioni stabilite dalla legge. ARTICOLO 29</t>
  </si>
  <si>
    <t xml:space="preserve">anno. 30.2 Alla chiusura di ciascun esercizio sociale l'organo am- </t>
  </si>
  <si>
    <t xml:space="preserve">norme di legge. 30.3 Il bilancio deve essere approvato entro centoventi gior- </t>
  </si>
  <si>
    <t>gioni della dilazione. ARTICOLO 31</t>
  </si>
  <si>
    <t xml:space="preserve">giunto il quinto del capitale sociale. 31.2 La delibera dell'assemblea dei soci che approva il bi- </t>
  </si>
  <si>
    <t>lancio decide sulla distribuzione degli utili ai soci. SCIOGLIMENTO E LIQUIDAZIONE</t>
  </si>
  <si>
    <t xml:space="preserve">ste per la modifica del presente Statuto. 32.2 Nel caso di cui al precedente comma 1) nonchè verifican- </t>
  </si>
  <si>
    <t xml:space="preserve">l'art.2484 cod.civ. </t>
  </si>
  <si>
    <t xml:space="preserve">ovvero da altre disposizioni di legge o </t>
  </si>
  <si>
    <t xml:space="preserve">liquidatori si applica la disposizione dell'art.2489 cod.civ. DISPOSIZIONI GENERALI  </t>
  </si>
  <si>
    <t>di loro, è quello che risulta dal Registro delle Imprese. ARTICOLO 34</t>
  </si>
  <si>
    <t xml:space="preserve">ge in tema di società unipersonale. 34.2 In ogni caso, se l'aumento di capitale è sottoscritto </t>
  </si>
  <si>
    <t xml:space="preserve">soci e deve indicare la data di tale iscrizione. 34.4 I contratti della società con l'unico socio e le opera- </t>
  </si>
  <si>
    <t xml:space="preserve">riore al pignoramento. 34.5 Negli atti e nella corrispondenza della società deve es- </t>
  </si>
  <si>
    <t xml:space="preserve">sere indicato se questa ha un unico socio. 34.6 Per tutto quanto non previsto nel presente statuto per </t>
  </si>
  <si>
    <t xml:space="preserve">si rinvia alla normativa vigente in materia. ARTICOLO 35 </t>
  </si>
  <si>
    <t xml:space="preserve">in materia di società per azioni. Fisciano, ventotto dicembre duemilaventitre. </t>
  </si>
  <si>
    <t>conforme al suo originale e si rilascia per uso consentito. - Fisciano,</t>
  </si>
  <si>
    <t>in sigla "OT SCARL". ARTICOLO 2 - SEDE</t>
  </si>
  <si>
    <t>dell'art. 111-ter disposizioni di attuazione del codice civile. 2.2 Gli organi sociali competenti ai sensi di legge  possono trasferire la sede,</t>
  </si>
  <si>
    <t>e/o amministrative, succursali, agenzie, uffici e rappresentanze. ARTICOLO 3 - DURATA</t>
  </si>
  <si>
    <t>all'estinzione di ogni rapporto con il Committente e coi terzi. ARTICOLO 4 - SCOPO, OGGETTO e CONDIZIONI DI AMMISSIONE</t>
  </si>
  <si>
    <t xml:space="preserve">4.1. </t>
  </si>
  <si>
    <t>La società ha scopo consortile e costituisce l ’organizzazione comune</t>
  </si>
  <si>
    <t>delle loro capacità tecniche, gestionali, amministrative e finanziarie. 4.2. Il RTI composto da Codess Sanità srl, Il Gabbi ano 2.0 s.c.s., Medical</t>
  </si>
  <si>
    <t>Line Consulting s.r.l. e Codess Sociale s.c.s. aff iderà` al Società Consortile</t>
  </si>
  <si>
    <t>indicato. Al fine di raggiungere gli scopi consortili, la con sortile potrà avvalersi di</t>
  </si>
  <si>
    <t xml:space="preserve">proprio personale, ovvero delle prestazioni delle c onsorziate stesse. </t>
  </si>
  <si>
    <t>degli scopi predetti, avente per oggetto il perseguimento di tale finalità`. 4.3. La Società Consortile ha pertanto il compito d i provvedere al puntuale e</t>
  </si>
  <si>
    <t xml:space="preserve">credito e società finanziarie. 4.4. </t>
  </si>
  <si>
    <t>Essa potrà` inoltre compiere tutte le operazio ni mobiliari e finanziarie,</t>
  </si>
  <si>
    <t>le cui finalità` non siano in contrasto con gli scopi sociali previsti nello Statuto. 4.5. La Società ha facoltà di acquisire mutui, pres titi o finanziamenti dai Soci,</t>
  </si>
  <si>
    <t>infruttiferi secondo quanto previsto dalle deliberazioni consiliari. 4.6. Al fine di agevolare l'attuazione degli scopi sociali potrà essere redatto a</t>
  </si>
  <si>
    <t>Regolamento interno è approvato all’unanimità dall’Assemblea dei soci. ARTICOLO 5 - CAPITALE SOCIALE E PARTECIPAZIONI</t>
  </si>
  <si>
    <t xml:space="preserve">5.1. Il capitale sociale è di Euro 30.000,00 (trentamila virgola zero zero). 5.2. La partecipazione sociale rappresenta una quota del capitale sociale. 5.3. </t>
  </si>
  <si>
    <t>In considerazione dell'oggetto sociale, le par tecipazioni non possono</t>
  </si>
  <si>
    <t>deliberazione favorevole ed unanime dell'Assemblea. Il diritto di voto</t>
  </si>
  <si>
    <t>continua comunque a spettare al socio. 5.4. La partecipazione sociale è trasferibile a nor ma di legge, a condizione</t>
  </si>
  <si>
    <t>richiesta. I soci sono vincolati a comunicare alla società ogn i variazione della propria</t>
  </si>
  <si>
    <t>denominazione, ragione sociale, natura giuridica, sede, domicilio. 5.5. Ai fini dell’esercizio del diritto di prelazione, si procederà come segue:</t>
  </si>
  <si>
    <t xml:space="preserve">raccomandata a.r. </t>
  </si>
  <si>
    <t>o posta elettronica certificata, specificando: (1) l'entità</t>
  </si>
  <si>
    <t>comunicazione da inviare a mezzo lettera racc. a.r. o posta elettronica</t>
  </si>
  <si>
    <t xml:space="preserve">socio cessionario. </t>
  </si>
  <si>
    <t>Da tale momento il socio cedente  e cessionario dovranno</t>
  </si>
  <si>
    <t>esercitare la prelazione. ARTICOLO 6 - DOMICILIO DEI SOCI</t>
  </si>
  <si>
    <t>stati espressamente comunicati da detti soggetti. ARTICOLO 7 - ASSEMBLEE</t>
  </si>
  <si>
    <t xml:space="preserve">Assembleare. </t>
  </si>
  <si>
    <t>L’Assemblea regolarmente costituita ra ppresenta l'universalità</t>
  </si>
  <si>
    <t>assunte ai sensi di legge e di Statuto. ARTICOLO 8 - CONVOCAZIONE DELL’ASSEMBLEA</t>
  </si>
  <si>
    <t xml:space="preserve">seconda convocazione dell'adunanza e l'elenco delle materie da trattare. 8.2. </t>
  </si>
  <si>
    <t>L’Assemblea è comunque validamente costituita,  anche senza le</t>
  </si>
  <si>
    <t>dell’argomento. Quanto sopra dovrà risultare da una dichiarazione s critta del soggetto</t>
  </si>
  <si>
    <t>assente. 8.3. L’Assemblea dovrà anche essere convocata senza  ritardo, quando</t>
  </si>
  <si>
    <t>venga inoltrata richiesta ai sensi di legge. 8.4. L'Assemblea viene convocata, per l'approvazion e del bilancio, almeno</t>
  </si>
  <si>
    <t>dalla chiusura dell'esercizio sociale, nei casi consentiti dalla legge. 8.5. L'assemblea può svolgersi anche in videoconferenza e/o in teleconferenza,</t>
  </si>
  <si>
    <t xml:space="preserve">trattamento dei soci consorziati collegati. </t>
  </si>
  <si>
    <t>verbalizzante. ARTICOLO 9 - INTERVENTO IN ASSEMBLEA</t>
  </si>
  <si>
    <t>diritto di voto, sulla base delle risultanze del Registro delle Imprese. 9.2 Possono intervenire all'assemblea i titolari del diritto di voto. 9.3 Ogni socio potrà intervenire anche mediante del ega scritta, che dovrà</t>
  </si>
  <si>
    <t>dell’Assemblea. ARTICOLO 10 - PRESIDENTE DELL'ASSEMBLEA</t>
  </si>
  <si>
    <t xml:space="preserve">loro assenza, da altra persona scelta dai soci presenti. 10.2. </t>
  </si>
  <si>
    <t>Le riunioni Assembleari sono constatate da un  verbale redatto ai sensi</t>
  </si>
  <si>
    <t>l’Organo amministrativo lo ritengano opportuno. ARTICOLO 11 - DELIBERAZIONI ASSEMBLEARI</t>
  </si>
  <si>
    <t>può esercitare il diritto di voto. 11.2 L'Assemblea è validamente costituita e deliber a, sia in prima che in</t>
  </si>
  <si>
    <t>fatte salve quelle materie per le quali la legge prevede maggioranze diverse. 11.3 E’ nella esclusiva facoltà dell’Assemblea dei soci determinare compensi</t>
  </si>
  <si>
    <t>consortile della società deve essere assunta con voto unanime. -------THIS IS A CUSTOM END OF PAGE-------</t>
  </si>
  <si>
    <t>ai sensi del successivo articolo. ARTICOLO 12 - CONSIGLIO DI AMMINISTRAZIONE</t>
  </si>
  <si>
    <t xml:space="preserve">12.1. </t>
  </si>
  <si>
    <t>La Società è amministrata da un Consiglio di Amministrazione</t>
  </si>
  <si>
    <t>della Società Consortile. 12.2. Essi durano in carica tre esercizi, salvo il caso in cui il socio che ha</t>
  </si>
  <si>
    <t>dalla data di effetto dell’esclusione. Gli amministratori sono rieleggibili. 12.3. L'Assemblea, in qualsiasi momento, può revoca re il mandato conferito</t>
  </si>
  <si>
    <t>designare il/i consigliere/i il/i cui mandato/i è/s ono oggetto di revoca. L’Assemblea dovrà provvedere, contestualmente alla revoca del mandato,</t>
  </si>
  <si>
    <t>alla sostituzione del consigliere revocato o dei consiglieri revocati. 12.4 Qualora, per qualunque motivo, venga a mancare  un consigliere di</t>
  </si>
  <si>
    <t>i suoi membri un Presidente e un Vice Presidente, determinandone i poteri. ARTICOLO 14 - CONVOCAZIONE DEL CONSIGLIO DI</t>
  </si>
  <si>
    <t>suoi membri, o dal Collegio Sindacale, se nominato. 14.2. Il Consiglio d'Amministrazione è convocato da l Presidente con lettera</t>
  </si>
  <si>
    <t>effettivo, qualora sia stato nominato il Collegio Sindacale. 14.3. In caso di urgenza la convocazione può essere  fatta pec, e-mail o</t>
  </si>
  <si>
    <t>il requisito dell'urgenza è valutato insindacabilmente dal Presidente. 14.4. Le adunanze del Consiglio di Amministrazione posson o avvenire anche, o</t>
  </si>
  <si>
    <t xml:space="preserve">esclusivamente, per il tramite di mezzi di telecomunicazione. </t>
  </si>
  <si>
    <t>In questo ultimo</t>
  </si>
  <si>
    <t>nonché, quando necessario, di visionare, ricevere o trasmettere documenti. Sussistendo queste condizioni, la riunione si considera tenuta nel luogo in cui</t>
  </si>
  <si>
    <t>stesura e la sottoscrizione del verbale sul relativo libro. ARTICOLO 15 - DELIBERAZIONI CONSILIARI</t>
  </si>
  <si>
    <t>intende non adottata. Il Consiglio di Amministrazione delibera all’unanimità sulle seguenti materie:</t>
  </si>
  <si>
    <t xml:space="preserve">Commessa. 15.2. Non sono consentiti la partecipazione ed il voto per delega. 15.3. </t>
  </si>
  <si>
    <t>I verbali di riunione sono sottoscritti dal P residente e da un Segretario</t>
  </si>
  <si>
    <t>Amministrazione e alla Società. ARTICOLO 16 - POTERI DEL CONSIGLIO DI AMMINISTRAZIONE</t>
  </si>
  <si>
    <t>presente Statuto riservano all’Assemblea. 16.2. Il Consiglio di Amministrazione può, con il v oto unanime dei propri</t>
  </si>
  <si>
    <t>procure speciali per il compimento di determinati atti o categorie di atti. 16.3. Le deleghe attribuite all’Amministratore Dele gato o al Comitato</t>
  </si>
  <si>
    <t xml:space="preserve">scadenza, possono essere nuovamente attribuite ai sensi del precedente art. 16.2. </t>
  </si>
  <si>
    <t>conseguenti. 17.2 In caso di liquidazione, la rappresentanza del la società spetta al</t>
  </si>
  <si>
    <t>collegio medesimo, secondo quanto verrà. ARTICOLO 18 - GESTIONE SOCIALE</t>
  </si>
  <si>
    <t xml:space="preserve">dell'oggetto sociale. 18.2. </t>
  </si>
  <si>
    <t>Essa, pertanto, a titolo esemplificativo e no n esaustivo, può: ottenere</t>
  </si>
  <si>
    <t>occorra per l'esecuzione dei servizi. 18.3. La Società Consortile può avvalersi di presta zioni di dipendenti dei soci</t>
  </si>
  <si>
    <t>Società Consortile. 18.4. Tutti i costi diretti ed indiretti, sopportat i dalla Società Consortile per</t>
  </si>
  <si>
    <t>nei termini stabiliti dal Consiglio di Amministrazione. 18.5. È esclusa qualsiasi ipotesi di solidarietà tr a i soci per gli obblighi da</t>
  </si>
  <si>
    <t>Società Consortile quale costo di gestione. ARTICOLO 21 - ESERCIZIO SOCIALE - BILANCIO</t>
  </si>
  <si>
    <t>21.1 Gli esercizi sociali si chiudono il 31 (trentuno) dicembre di ogni anno. -------THIS IS A CUSTOM END OF PAGE-------</t>
  </si>
  <si>
    <t>dell'Assemblea. 21.3 La Società a norma del combinato disposto degl i art. 2602 e 2615 ter</t>
  </si>
  <si>
    <t>consorziati. Ferma l'assenza dello scopo di lucro per la Società  consortile, le eventuali</t>
  </si>
  <si>
    <t>dei conti o ad una società di revisione legale. 22.2. E’ facoltà dell’Assemblea, alternativamente, nominare un Sindaco</t>
  </si>
  <si>
    <t>Unico i cui poteri sono disciplinati dalle norme in materia di società per azioni. Ad esso spetta altresì la revisione legale dei cont i, qualora non sia affidata,</t>
  </si>
  <si>
    <t>legale iscritto nell’apposito registro. ARTICOLO 23 - RECESSO</t>
  </si>
  <si>
    <t>concorso all’approvazione della delibera di proroga della società. ARTICOLO 24 - ESCLUSIONE E SCIOGLIMENTO DEL RAPPORT O</t>
  </si>
  <si>
    <t>Si considera giusta causa di esclus ione il grave</t>
  </si>
  <si>
    <t>le ipotesi previste all’art. 24.3. 24.2. L’Assemblea delibera validamente l’esclusione con la presenza e il voto</t>
  </si>
  <si>
    <t>Tribunale competente su domanda dell’altro. 24.3. Il consorziato può essere escluso nei seguenti casi:</t>
  </si>
  <si>
    <t xml:space="preserve">dell’esaurimento di tutti i rapporti giuridici ed economici menzionati all’art. </t>
  </si>
  <si>
    <t>4;</t>
  </si>
  <si>
    <t xml:space="preserve">dell’esclusione; </t>
  </si>
  <si>
    <t xml:space="preserve">l’esclusione, sarebbero altrimenti gravate su quest’ultimo. </t>
  </si>
  <si>
    <t>superstiti. 25.2 L’esclusione di un socio consorziato lascerà impregiudicato il diritto della</t>
  </si>
  <si>
    <t>dalla stessa Società o dagli altri soci consorziati. Art 26 - DIRITTI DEI SOCI</t>
  </si>
  <si>
    <t>ai soci in misura proporzionale alla partecipazione da ciascuno posseduta. Diritti diversi dalla quota</t>
  </si>
  <si>
    <t>B.1) al socio Codess Sanità S.r.l. - spetta il diritto personale e inalienabile di nom inare 1 (uno) componente</t>
  </si>
  <si>
    <t xml:space="preserve">Codess Sanità S.r.l. avrà ruolo di Presidente dell’organo amministrativo. </t>
  </si>
  <si>
    <t>B.3) al socio MLC S.r.l. - spetta il diritto personale e inalienabile di nom inare 1 (uno) componente</t>
  </si>
  <si>
    <t xml:space="preserve">a Gabbiano 2.0 ed infine a Codess Sociale. </t>
  </si>
  <si>
    <t>da adottarsi col consenso unanime di tutti i soci. ARTICOLO 27 - SCIOGLIMENTO DELLA SOCIETÀ CONSORTILE</t>
  </si>
  <si>
    <t>indicate negli articoli 2484 e 2611 Codice Civile. 27.2. In tal caso l'Assemblea provvederà alla nomina di uno o più liquidatori. ARTICOLO 28 - FORO COMPETENTE</t>
  </si>
  <si>
    <t>queste inerenti, sarà competente in via esclusiva il Foro di Milano. ARTICOLO 29 - RINVIO</t>
  </si>
  <si>
    <t>riferimento alle norme di legge vigenti in materia di Società Consortile. Fto. Mario Oreficini, Santoro Marco, Paolo Tiramani , Luca Omodei - GIULIA</t>
  </si>
  <si>
    <t xml:space="preserve">D. Lgs. 7 marzo 2005 n. 82. Cusano Milanino, 30 dicembre 2023 </t>
  </si>
  <si>
    <t>* (1)</t>
  </si>
  <si>
    <t>*(1): Used its knowledge of the act on website to specify</t>
  </si>
  <si>
    <t xml:space="preserve">{   </t>
  </si>
  <si>
    <r>
      <t xml:space="preserve">                </t>
    </r>
    <r>
      <rPr>
        <sz val="9"/>
        <color rgb="FFA31515"/>
        <rFont val="Consolas"/>
        <family val="3"/>
      </rPr>
      <t>"Rimborso"</t>
    </r>
    <r>
      <rPr>
        <sz val="9"/>
        <color rgb="FF3B3B3B"/>
        <rFont val="Consolas"/>
        <family val="3"/>
      </rPr>
      <t>: [</t>
    </r>
    <r>
      <rPr>
        <sz val="9"/>
        <color rgb="FF098658"/>
        <rFont val="Consolas"/>
        <family val="3"/>
      </rPr>
      <t>5</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</si>
  <si>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</si>
  <si>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</si>
  <si>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17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</si>
  <si>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15</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</si>
  <si>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17</t>
    </r>
    <r>
      <rPr>
        <sz val="9"/>
        <color rgb="FF3B3B3B"/>
        <rFont val="Consolas"/>
        <family val="3"/>
      </rPr>
      <t xml:space="preserve">, </t>
    </r>
    <r>
      <rPr>
        <sz val="9"/>
        <color rgb="FF098658"/>
        <rFont val="Consolas"/>
        <family val="3"/>
      </rPr>
      <t>12</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</si>
  <si>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</si>
  <si>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19</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</si>
  <si>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28</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20</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</si>
  <si>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20</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</si>
  <si>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</si>
  <si>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</si>
  <si>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</si>
  <si>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</si>
  <si>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20</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11</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</si>
  <si>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</si>
  <si>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93</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</si>
  <si>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93</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91</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</si>
  <si>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95</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96</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</si>
  <si>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</si>
  <si>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93</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</si>
  <si>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94</t>
    </r>
    <r>
      <rPr>
        <sz val="9"/>
        <color rgb="FF3B3B3B"/>
        <rFont val="Consolas"/>
        <family val="3"/>
      </rPr>
      <t xml:space="preserve">, </t>
    </r>
    <r>
      <rPr>
        <sz val="9"/>
        <color rgb="FF098658"/>
        <rFont val="Consolas"/>
        <family val="3"/>
      </rPr>
      <t>107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</si>
  <si>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</si>
  <si>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86</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</si>
  <si>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</si>
  <si>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101</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88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</si>
  <si>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101</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100</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</si>
  <si>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</si>
  <si>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</si>
  <si>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91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</si>
  <si>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101</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</si>
  <si>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101</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</si>
  <si>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101</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</si>
  <si>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</si>
  <si>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49</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</si>
  <si>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33</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</si>
  <si>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49</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33</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</si>
  <si>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49</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</si>
  <si>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</si>
  <si>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</si>
  <si>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</si>
  <si>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</si>
  <si>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41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</si>
  <si>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50</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39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</si>
  <si>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41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</si>
  <si>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51</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</si>
  <si>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</si>
  <si>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34</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</si>
  <si>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50</t>
    </r>
    <r>
      <rPr>
        <sz val="9"/>
        <color rgb="FF3B3B3B"/>
        <rFont val="Consolas"/>
        <family val="3"/>
      </rPr>
      <t xml:space="preserve">, </t>
    </r>
    <r>
      <rPr>
        <sz val="9"/>
        <color rgb="FF098658"/>
        <rFont val="Consolas"/>
        <family val="3"/>
      </rPr>
      <t>35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</si>
  <si>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51</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</si>
  <si>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</si>
  <si>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32</t>
    </r>
    <r>
      <rPr>
        <sz val="9"/>
        <color rgb="FF3B3B3B"/>
        <rFont val="Consolas"/>
        <family val="3"/>
      </rPr>
      <t xml:space="preserve">, </t>
    </r>
    <r>
      <rPr>
        <sz val="9"/>
        <color rgb="FF098658"/>
        <rFont val="Consolas"/>
        <family val="3"/>
      </rPr>
      <t>35</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</si>
  <si>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</si>
  <si>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77</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</si>
  <si>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</si>
  <si>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</si>
  <si>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77</t>
    </r>
    <r>
      <rPr>
        <sz val="9"/>
        <color rgb="FF3B3B3B"/>
        <rFont val="Consolas"/>
        <family val="3"/>
      </rPr>
      <t xml:space="preserve">, </t>
    </r>
    <r>
      <rPr>
        <sz val="9"/>
        <color rgb="FF098658"/>
        <rFont val="Consolas"/>
        <family val="3"/>
      </rPr>
      <t>73</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</si>
  <si>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77</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</si>
  <si>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81</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</si>
  <si>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</si>
  <si>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</si>
  <si>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</si>
  <si>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72</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</si>
  <si>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</si>
  <si>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80</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</si>
  <si>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</si>
  <si>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</si>
  <si>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</si>
  <si>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79</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</si>
  <si>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</si>
  <si>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(Articolo 14.1). Le spese che possono essere rimborsate non vengono specificate nel contesto fornito."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</si>
  <si>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può essere fissata in misura fissa o proporzionale ai utili netti di servizio, determinata con decisione dei soci. In caso di commissione elettiva, il compenso è stabilito dal consiglio di amministrazione al momento della nomina."</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</si>
  <si>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10.000,00."</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</si>
  <si>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 In presenza di particolari esigenze, il termine può essere prorogato fino a centoventi giorni."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</si>
  <si>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31 dicembre 2060."</t>
    </r>
  </si>
  <si>
    <r>
      <t xml:space="preserve">                </t>
    </r>
    <r>
      <rPr>
        <sz val="9"/>
        <color rgb="FFA31515"/>
        <rFont val="Consolas"/>
        <family val="3"/>
      </rPr>
      <t>"A"</t>
    </r>
    <r>
      <rPr>
        <sz val="9"/>
        <color rgb="FF3B3B3B"/>
        <rFont val="Consolas"/>
        <family val="3"/>
      </rPr>
      <t xml:space="preserve">: </t>
    </r>
    <r>
      <rPr>
        <sz val="9"/>
        <color rgb="FFA31515"/>
        <rFont val="Consolas"/>
        <family val="3"/>
      </rPr>
      <t>"Sì, i soci consorziati possono assegnare un compenso agli amministratori, ma tale delibera deve essere assunta con voto unanime."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</si>
  <si>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30.000,00 (trentamila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</si>
  <si>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"Nei termini di legge, oppure entro 180 (centottanta) giorni dalla chiusura dell'esercizio sociale."</t>
    </r>
  </si>
  <si>
    <r>
      <t xml:space="preserve">                </t>
    </r>
    <r>
      <rPr>
        <sz val="9"/>
        <color rgb="FFA31515"/>
        <rFont val="Consolas"/>
        <family val="3"/>
      </rPr>
      <t>"A"</t>
    </r>
    <r>
      <rPr>
        <sz val="9"/>
        <color rgb="FF3B3B3B"/>
        <rFont val="Consolas"/>
        <family val="3"/>
      </rPr>
      <t xml:space="preserve">: </t>
    </r>
    <r>
      <rPr>
        <sz val="9"/>
        <color rgb="FFA31515"/>
        <rFont val="Consolas"/>
        <family val="3"/>
      </rPr>
      <t>"31 dicembre."</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</si>
  <si>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che possono essere rimborsate includono quelle relative al servizio di videoconferenza e/o audioconferenza."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</si>
  <si>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ma solo con decisione valida del consiglio di amministrazione. Il compenso deve essere determinato da una decisione valida fino a modifica e non può superare il limite stabilito dall'art. 2389, terzo comma, del Codice civile."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</si>
  <si>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12.000,00 (dodicimila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</si>
  <si>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"Il bilancio di esercizio deve essere presentato ai soci per l'approvazione entro centotrenta giorni dalla chiusura dell'esercizio, ovvero entro centoventi giorni, qualora ricorrano le condizioni previste dall'ultimo comma dell'art. 3.7."</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</si>
  <si>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a favore degli stessi amministratori somme a titolo di indennità per la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</si>
  <si>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"5% (cinque per cento)."</t>
    </r>
  </si>
  <si>
    <r>
      <t xml:space="preserve">                </t>
    </r>
    <r>
      <rPr>
        <sz val="9"/>
        <color rgb="FFA31515"/>
        <rFont val="Consolas"/>
        <family val="3"/>
      </rPr>
      <t>"A"</t>
    </r>
    <r>
      <rPr>
        <sz val="9"/>
        <color rgb="FF3B3B3B"/>
        <rFont val="Consolas"/>
        <family val="3"/>
      </rPr>
      <t xml:space="preserve">: </t>
    </r>
    <r>
      <rPr>
        <sz val="9"/>
        <color rgb="FFA31515"/>
        <rFont val="Consolas"/>
        <family val="3"/>
      </rPr>
      <t>"Euro 15.000,00 (euro quindicemila)."</t>
    </r>
  </si>
  <si>
    <r>
      <t xml:space="preserve">                </t>
    </r>
    <r>
      <rPr>
        <sz val="9"/>
        <color rgb="FFA31515"/>
        <rFont val="Consolas"/>
        <family val="3"/>
      </rPr>
      <t>"A"</t>
    </r>
    <r>
      <rPr>
        <sz val="9"/>
        <color rgb="FF3B3B3B"/>
        <rFont val="Consolas"/>
        <family val="3"/>
      </rPr>
      <t xml:space="preserve">: </t>
    </r>
    <r>
      <rPr>
        <sz val="9"/>
        <color rgb="FFA31515"/>
        <rFont val="Consolas"/>
        <family val="3"/>
      </rPr>
      <t>"Entro centotrenta giorni dalla chiusura dell'esercizio sociale. In presenza di particolari esigenze, il termine può essere prorogato fino a centoventi giorni."</t>
    </r>
  </si>
  <si>
    <r>
      <t xml:space="preserve">                </t>
    </r>
    <r>
      <rPr>
        <sz val="9"/>
        <color rgb="FFA31515"/>
        <rFont val="Consolas"/>
        <family val="3"/>
      </rPr>
      <t>"A"</t>
    </r>
    <r>
      <rPr>
        <sz val="9"/>
        <color rgb="FF3B3B3B"/>
        <rFont val="Consolas"/>
        <family val="3"/>
      </rPr>
      <t xml:space="preserve">: </t>
    </r>
    <r>
      <rPr>
        <sz val="9"/>
        <color rgb="FFA31515"/>
        <rFont val="Consolas"/>
        <family val="3"/>
      </rPr>
      <t xml:space="preserve">"La durata della società è stabilita fino al trentuno dicembre duemilasei- </t>
    </r>
    <r>
      <rPr>
        <sz val="9"/>
        <color rgb="FFEE0000"/>
        <rFont val="Consolas"/>
        <family val="3"/>
      </rPr>
      <t>\n\n</t>
    </r>
    <r>
      <rPr>
        <sz val="9"/>
        <color rgb="FFA31515"/>
        <rFont val="Consolas"/>
        <family val="3"/>
      </rPr>
      <t>centoventicinque (31 dicembre 2075)."</t>
    </r>
  </si>
  <si>
    <r>
      <t xml:space="preserve">                </t>
    </r>
    <r>
      <rPr>
        <sz val="9"/>
        <color rgb="FFA31515"/>
        <rFont val="Consolas"/>
        <family val="3"/>
      </rPr>
      <t>"spese_incluse"</t>
    </r>
    <r>
      <rPr>
        <sz val="9"/>
        <color rgb="FF3B3B3B"/>
        <rFont val="Consolas"/>
        <family val="3"/>
      </rPr>
      <t xml:space="preserve">: </t>
    </r>
    <r>
      <rPr>
        <sz val="9"/>
        <color rgb="FFA31515"/>
        <rFont val="Consolas"/>
        <family val="3"/>
      </rPr>
      <t>"Non vengono specificate nel contesto fornito"</t>
    </r>
  </si>
  <si>
    <r>
      <t xml:space="preserve">                </t>
    </r>
    <r>
      <rPr>
        <sz val="9"/>
        <color rgb="FFA31515"/>
        <rFont val="Consolas"/>
        <family val="3"/>
      </rPr>
      <t>"misura_indennita"</t>
    </r>
    <r>
      <rPr>
        <sz val="9"/>
        <color rgb="FF3B3B3B"/>
        <rFont val="Consolas"/>
        <family val="3"/>
      </rPr>
      <t xml:space="preserve">: </t>
    </r>
    <r>
      <rPr>
        <sz val="9"/>
        <color rgb="FFA31515"/>
        <rFont val="Consolas"/>
        <family val="3"/>
      </rPr>
      <t>"fissa o proporzionale ai utili netti di servizio, determinata con decisione dei soci, oppure stabilito dal consiglio di amministrazione al momento della nomina"</t>
    </r>
  </si>
  <si>
    <r>
      <t xml:space="preserve">                </t>
    </r>
    <r>
      <rPr>
        <sz val="9"/>
        <color rgb="FFA31515"/>
        <rFont val="Consolas"/>
        <family val="3"/>
      </rPr>
      <t>"misura_indennita"</t>
    </r>
    <r>
      <rPr>
        <sz val="9"/>
        <color rgb="FF3B3B3B"/>
        <rFont val="Consolas"/>
        <family val="3"/>
      </rPr>
      <t xml:space="preserve">: </t>
    </r>
    <r>
      <rPr>
        <sz val="9"/>
        <color rgb="FFA31515"/>
        <rFont val="Consolas"/>
        <family val="3"/>
      </rPr>
      <t>"voto unanime"</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</si>
  <si>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"80"</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</si>
  <si>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A31515"/>
        <rFont val="Consolas"/>
        <family val="3"/>
      </rPr>
      <t>"con decisione valida del consiglio di amministrazione. Il compenso deve essere determinato da una decisione valida fino a modifica e non può superare il limite stabilito dall'art. 2389, terzo comma, del Codice civile."</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</si>
  <si>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"centotrenta giorni dalla chiusura dell’esercizio, ovvero entro centoventi giorni"</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</si>
  <si>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distribuiti solo se il bilancio è stato approvato con maggioranza semplice del capitale sociale. In caso di mancata approvazione, gli utili residui non sono distribuiti."</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</si>
  <si>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proporzionale agli utili netti di esercizio"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</si>
  <si>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"15.000,00"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</si>
  <si>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2075"</t>
    </r>
  </si>
  <si>
    <r>
      <t xml:space="preserve">                </t>
    </r>
    <r>
      <rPr>
        <sz val="8"/>
        <color rgb="FFA31515"/>
        <rFont val="Consolas"/>
        <family val="3"/>
      </rPr>
      <t>"analyze_query"</t>
    </r>
    <r>
      <rPr>
        <sz val="8"/>
        <color rgb="FF3B3B3B"/>
        <rFont val="Consolas"/>
        <family val="3"/>
      </rPr>
      <t xml:space="preserve">: </t>
    </r>
    <r>
      <rPr>
        <sz val="8"/>
        <color rgb="FFA31515"/>
        <rFont val="Consolas"/>
        <family val="3"/>
      </rPr>
      <t>"13.550 s"</t>
    </r>
    <r>
      <rPr>
        <sz val="8"/>
        <color rgb="FF3B3B3B"/>
        <rFont val="Consolas"/>
        <family val="3"/>
      </rPr>
      <t>,</t>
    </r>
  </si>
  <si>
    <r>
      <t xml:space="preserve">                </t>
    </r>
    <r>
      <rPr>
        <sz val="8"/>
        <color rgb="FFA31515"/>
        <rFont val="Consolas"/>
        <family val="3"/>
      </rPr>
      <t>"retrieve"</t>
    </r>
    <r>
      <rPr>
        <sz val="8"/>
        <color rgb="FF3B3B3B"/>
        <rFont val="Consolas"/>
        <family val="3"/>
      </rPr>
      <t xml:space="preserve">: </t>
    </r>
    <r>
      <rPr>
        <sz val="8"/>
        <color rgb="FFA31515"/>
        <rFont val="Consolas"/>
        <family val="3"/>
      </rPr>
      <t>"0.166 s"</t>
    </r>
    <r>
      <rPr>
        <sz val="8"/>
        <color rgb="FF3B3B3B"/>
        <rFont val="Consolas"/>
        <family val="3"/>
      </rPr>
      <t>,</t>
    </r>
  </si>
  <si>
    <r>
      <t xml:space="preserve">                </t>
    </r>
    <r>
      <rPr>
        <sz val="8"/>
        <color rgb="FFA31515"/>
        <rFont val="Consolas"/>
        <family val="3"/>
      </rPr>
      <t>"generate"</t>
    </r>
    <r>
      <rPr>
        <sz val="8"/>
        <color rgb="FF3B3B3B"/>
        <rFont val="Consolas"/>
        <family val="3"/>
      </rPr>
      <t xml:space="preserve">: </t>
    </r>
    <r>
      <rPr>
        <sz val="8"/>
        <color rgb="FFA31515"/>
        <rFont val="Consolas"/>
        <family val="3"/>
      </rPr>
      <t>"68.823 s"</t>
    </r>
    <r>
      <rPr>
        <sz val="8"/>
        <color rgb="FF3B3B3B"/>
        <rFont val="Consolas"/>
        <family val="3"/>
      </rPr>
      <t>,</t>
    </r>
  </si>
  <si>
    <r>
      <t xml:space="preserve">                </t>
    </r>
    <r>
      <rPr>
        <sz val="8"/>
        <color rgb="FFA31515"/>
        <rFont val="Consolas"/>
        <family val="3"/>
      </rPr>
      <t>"re_ranking"</t>
    </r>
    <r>
      <rPr>
        <sz val="8"/>
        <color rgb="FF3B3B3B"/>
        <rFont val="Consolas"/>
        <family val="3"/>
      </rPr>
      <t xml:space="preserve">: </t>
    </r>
    <r>
      <rPr>
        <sz val="8"/>
        <color rgb="FFA31515"/>
        <rFont val="Consolas"/>
        <family val="3"/>
      </rPr>
      <t>"16.462 s"</t>
    </r>
    <r>
      <rPr>
        <sz val="8"/>
        <color rgb="FF3B3B3B"/>
        <rFont val="Consolas"/>
        <family val="3"/>
      </rPr>
      <t>,</t>
    </r>
  </si>
  <si>
    <r>
      <t xml:space="preserve">                </t>
    </r>
    <r>
      <rPr>
        <sz val="8"/>
        <color rgb="FFA31515"/>
        <rFont val="Consolas"/>
        <family val="3"/>
      </rPr>
      <t>"overall"</t>
    </r>
    <r>
      <rPr>
        <sz val="8"/>
        <color rgb="FF3B3B3B"/>
        <rFont val="Consolas"/>
        <family val="3"/>
      </rPr>
      <t xml:space="preserve">: </t>
    </r>
    <r>
      <rPr>
        <sz val="8"/>
        <color rgb="FFA31515"/>
        <rFont val="Consolas"/>
        <family val="3"/>
      </rPr>
      <t>"109.553 s"</t>
    </r>
    <r>
      <rPr>
        <sz val="8"/>
        <color rgb="FF3B3B3B"/>
        <rFont val="Consolas"/>
        <family val="3"/>
      </rPr>
      <t>,</t>
    </r>
  </si>
  <si>
    <r>
      <t xml:space="preserve">                </t>
    </r>
    <r>
      <rPr>
        <sz val="8"/>
        <color rgb="FFA31515"/>
        <rFont val="Consolas"/>
        <family val="3"/>
      </rPr>
      <t>"extract_sub_module"</t>
    </r>
    <r>
      <rPr>
        <sz val="8"/>
        <color rgb="FF3B3B3B"/>
        <rFont val="Consolas"/>
        <family val="3"/>
      </rPr>
      <t xml:space="preserve">: </t>
    </r>
    <r>
      <rPr>
        <sz val="8"/>
        <color rgb="FFA31515"/>
        <rFont val="Consolas"/>
        <family val="3"/>
      </rPr>
      <t>"10.440 s"</t>
    </r>
  </si>
  <si>
    <t>    Avg. Company accuracy:  0.667</t>
  </si>
  <si>
    <t>        CompensoAmministratori: 0.750</t>
  </si>
  <si>
    <t>        Avg. Group Runtime:  109.553 s</t>
  </si>
  <si>
    <t>            CompensoAmministratori: 109.553 s</t>
  </si>
  <si>
    <t>            BilanciUtili: 109.553 s</t>
  </si>
  <si>
    <t>            InfoGenerali: 109.553 s</t>
  </si>
  <si>
    <t>    Avg. Company Runtime:  109.553 s</t>
  </si>
  <si>
    <t>        CompensoAmministratori: 109.553 s</t>
  </si>
  <si>
    <t>        BilanciUtili: 109.553 s</t>
  </si>
  <si>
    <t>        InfoGenerali: 109.553 s</t>
  </si>
  <si>
    <t xml:space="preserve">    </t>
  </si>
  <si>
    <t>    }            </t>
  </si>
  <si>
    <r>
      <t xml:space="preserve">    </t>
    </r>
    <r>
      <rPr>
        <sz val="9"/>
        <color rgb="FFA31515"/>
        <rFont val="Consolas"/>
        <family val="3"/>
      </rPr>
      <t>'poliambulatorio 3d s.r.l.'</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</si>
  <si>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</si>
  <si>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"spese_incluse"</t>
    </r>
    <r>
      <rPr>
        <sz val="9"/>
        <color rgb="FF3B3B3B"/>
        <rFont val="Consolas"/>
        <family val="3"/>
      </rPr>
      <t xml:space="preserve">: </t>
    </r>
    <r>
      <rPr>
        <sz val="9"/>
        <color rgb="FF098658"/>
        <rFont val="Consolas"/>
        <family val="3"/>
      </rPr>
      <t>0</t>
    </r>
  </si>
  <si>
    <r>
      <t xml:space="preserve">                </t>
    </r>
    <r>
      <rPr>
        <sz val="9"/>
        <color rgb="FFA31515"/>
        <rFont val="Consolas"/>
        <family val="3"/>
      </rPr>
      <t>"spetta_indennita_da_soci"</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</si>
  <si>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098658"/>
        <rFont val="Consolas"/>
        <family val="3"/>
      </rPr>
      <t>1</t>
    </r>
  </si>
  <si>
    <r>
      <t xml:space="preserve">                </t>
    </r>
    <r>
      <rPr>
        <sz val="9"/>
        <color rgb="FFA31515"/>
        <rFont val="Consolas"/>
        <family val="3"/>
      </rPr>
      <t>"spetta_indennita"</t>
    </r>
    <r>
      <rPr>
        <sz val="9"/>
        <color rgb="FF3B3B3B"/>
        <rFont val="Consolas"/>
        <family val="3"/>
      </rPr>
      <t xml:space="preserve">: </t>
    </r>
    <r>
      <rPr>
        <sz val="9"/>
        <color rgb="FF098658"/>
        <rFont val="Consolas"/>
        <family val="3"/>
      </rPr>
      <t>1</t>
    </r>
  </si>
  <si>
    <r>
      <t xml:space="preserve">                </t>
    </r>
    <r>
      <rPr>
        <sz val="9"/>
        <color rgb="FFA31515"/>
        <rFont val="Consolas"/>
        <family val="3"/>
      </rPr>
      <t>"percentuale_utili"</t>
    </r>
    <r>
      <rPr>
        <sz val="9"/>
        <color rgb="FF3B3B3B"/>
        <rFont val="Consolas"/>
        <family val="3"/>
      </rPr>
      <t xml:space="preserve">: </t>
    </r>
    <r>
      <rPr>
        <sz val="9"/>
        <color rgb="FF098658"/>
        <rFont val="Consolas"/>
        <family val="3"/>
      </rPr>
      <t>1</t>
    </r>
  </si>
  <si>
    <r>
      <t xml:space="preserve">                </t>
    </r>
    <r>
      <rPr>
        <sz val="9"/>
        <color rgb="FFA31515"/>
        <rFont val="Consolas"/>
        <family val="3"/>
      </rPr>
      <t>"capitale_sociale_euro"</t>
    </r>
    <r>
      <rPr>
        <sz val="9"/>
        <color rgb="FF3B3B3B"/>
        <rFont val="Consolas"/>
        <family val="3"/>
      </rPr>
      <t xml:space="preserve">: </t>
    </r>
    <r>
      <rPr>
        <sz val="9"/>
        <color rgb="FF098658"/>
        <rFont val="Consolas"/>
        <family val="3"/>
      </rPr>
      <t>1</t>
    </r>
  </si>
  <si>
    <r>
      <t xml:space="preserve">                </t>
    </r>
    <r>
      <rPr>
        <sz val="9"/>
        <color rgb="FFA31515"/>
        <rFont val="Consolas"/>
        <family val="3"/>
      </rPr>
      <t>"termine_ordinario_giorni"</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</si>
  <si>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098658"/>
        <rFont val="Consolas"/>
        <family val="3"/>
      </rPr>
      <t>0</t>
    </r>
  </si>
  <si>
    <r>
      <t xml:space="preserve">                </t>
    </r>
    <r>
      <rPr>
        <sz val="9"/>
        <color rgb="FFA31515"/>
        <rFont val="Consolas"/>
        <family val="3"/>
      </rPr>
      <t>"data_chiusura_esercizio"</t>
    </r>
    <r>
      <rPr>
        <sz val="9"/>
        <color rgb="FF3B3B3B"/>
        <rFont val="Consolas"/>
        <family val="3"/>
      </rPr>
      <t xml:space="preserve">: </t>
    </r>
    <r>
      <rPr>
        <sz val="9"/>
        <color rgb="FF098658"/>
        <rFont val="Consolas"/>
        <family val="3"/>
      </rPr>
      <t>1</t>
    </r>
  </si>
  <si>
    <r>
      <t xml:space="preserve">                </t>
    </r>
    <r>
      <rPr>
        <sz val="9"/>
        <color rgb="FFA31515"/>
        <rFont val="Consolas"/>
        <family val="3"/>
      </rPr>
      <t>"utili_residui"</t>
    </r>
    <r>
      <rPr>
        <sz val="9"/>
        <color rgb="FF3B3B3B"/>
        <rFont val="Consolas"/>
        <family val="3"/>
      </rPr>
      <t xml:space="preserve">: </t>
    </r>
    <r>
      <rPr>
        <sz val="9"/>
        <color rgb="FF098658"/>
        <rFont val="Consolas"/>
        <family val="3"/>
      </rPr>
      <t>0</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</si>
  <si>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1</t>
    </r>
  </si>
  <si>
    <r>
      <t xml:space="preserve">    </t>
    </r>
    <r>
      <rPr>
        <sz val="9"/>
        <color rgb="FFA31515"/>
        <rFont val="Consolas"/>
        <family val="3"/>
      </rPr>
      <t>'ospedale tortona società consortile a r.l.'</t>
    </r>
    <r>
      <rPr>
        <sz val="9"/>
        <color rgb="FF3B3B3B"/>
        <rFont val="Consolas"/>
        <family val="3"/>
      </rPr>
      <t>: {</t>
    </r>
  </si>
  <si>
    <r>
      <t xml:space="preserve">                </t>
    </r>
    <r>
      <rPr>
        <sz val="9"/>
        <color rgb="FFA31515"/>
        <rFont val="Consolas"/>
        <family val="3"/>
      </rPr>
      <t>"CompensoAmministratori"</t>
    </r>
    <r>
      <rPr>
        <sz val="9"/>
        <color rgb="FF3B3B3B"/>
        <rFont val="Consolas"/>
        <family val="3"/>
      </rPr>
      <t>: {</t>
    </r>
  </si>
  <si>
    <r>
      <t xml:space="preserve">                </t>
    </r>
    <r>
      <rPr>
        <sz val="9"/>
        <color rgb="FFA31515"/>
        <rFont val="Consolas"/>
        <family val="3"/>
      </rPr>
      <t>"spese_incluse"</t>
    </r>
    <r>
      <rPr>
        <sz val="9"/>
        <color rgb="FF3B3B3B"/>
        <rFont val="Consolas"/>
        <family val="3"/>
      </rPr>
      <t xml:space="preserve">: </t>
    </r>
    <r>
      <rPr>
        <sz val="9"/>
        <color rgb="FF098658"/>
        <rFont val="Consolas"/>
        <family val="3"/>
      </rPr>
      <t>1</t>
    </r>
  </si>
  <si>
    <r>
      <t xml:space="preserve">                </t>
    </r>
    <r>
      <rPr>
        <sz val="9"/>
        <color rgb="FFA31515"/>
        <rFont val="Consolas"/>
        <family val="3"/>
      </rPr>
      <t>"termine_prorogato_giorni"</t>
    </r>
    <r>
      <rPr>
        <sz val="9"/>
        <color rgb="FF3B3B3B"/>
        <rFont val="Consolas"/>
        <family val="3"/>
      </rPr>
      <t xml:space="preserve">: </t>
    </r>
    <r>
      <rPr>
        <sz val="9"/>
        <color rgb="FF098658"/>
        <rFont val="Consolas"/>
        <family val="3"/>
      </rPr>
      <t>1</t>
    </r>
  </si>
  <si>
    <r>
      <t xml:space="preserve">                </t>
    </r>
    <r>
      <rPr>
        <sz val="9"/>
        <color rgb="FFA31515"/>
        <rFont val="Consolas"/>
        <family val="3"/>
      </rPr>
      <t>"utili_residui"</t>
    </r>
    <r>
      <rPr>
        <sz val="9"/>
        <color rgb="FF3B3B3B"/>
        <rFont val="Consolas"/>
        <family val="3"/>
      </rPr>
      <t xml:space="preserve">: </t>
    </r>
    <r>
      <rPr>
        <sz val="9"/>
        <color rgb="FF098658"/>
        <rFont val="Consolas"/>
        <family val="3"/>
      </rPr>
      <t>1</t>
    </r>
  </si>
  <si>
    <r>
      <t xml:space="preserve">    </t>
    </r>
    <r>
      <rPr>
        <sz val="9"/>
        <color rgb="FFA31515"/>
        <rFont val="Consolas"/>
        <family val="3"/>
      </rPr>
      <t>'unica società benefit a r.l.'</t>
    </r>
    <r>
      <rPr>
        <sz val="9"/>
        <color rgb="FF3B3B3B"/>
        <rFont val="Consolas"/>
        <family val="3"/>
      </rPr>
      <t>: {</t>
    </r>
  </si>
  <si>
    <r>
      <t xml:space="preserve">                </t>
    </r>
    <r>
      <rPr>
        <sz val="9"/>
        <color rgb="FFA31515"/>
        <rFont val="Consolas"/>
        <family val="3"/>
      </rPr>
      <t>"misura_indennita"</t>
    </r>
    <r>
      <rPr>
        <sz val="9"/>
        <color rgb="FF3B3B3B"/>
        <rFont val="Consolas"/>
        <family val="3"/>
      </rPr>
      <t xml:space="preserve">: </t>
    </r>
    <r>
      <rPr>
        <sz val="9"/>
        <color rgb="FF098658"/>
        <rFont val="Consolas"/>
        <family val="3"/>
      </rPr>
      <t>0</t>
    </r>
  </si>
  <si>
    <r>
      <t xml:space="preserve">                </t>
    </r>
    <r>
      <rPr>
        <sz val="9"/>
        <color rgb="FFA31515"/>
        <rFont val="Consolas"/>
        <family val="3"/>
      </rPr>
      <t>"data_chiusura_esercizio"</t>
    </r>
    <r>
      <rPr>
        <sz val="9"/>
        <color rgb="FF3B3B3B"/>
        <rFont val="Consolas"/>
        <family val="3"/>
      </rPr>
      <t xml:space="preserve">: </t>
    </r>
    <r>
      <rPr>
        <sz val="9"/>
        <color rgb="FF098658"/>
        <rFont val="Consolas"/>
        <family val="3"/>
      </rPr>
      <t>0</t>
    </r>
  </si>
  <si>
    <r>
      <t xml:space="preserve">    </t>
    </r>
    <r>
      <rPr>
        <sz val="9"/>
        <color rgb="FFA31515"/>
        <rFont val="Consolas"/>
        <family val="3"/>
      </rPr>
      <t>'secur system group di romeo s.r.l.'</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</si>
  <si>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</si>
  <si>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</si>
  <si>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"180"</t>
    </r>
    <r>
      <rPr>
        <sz val="9"/>
        <color rgb="FF3B3B3B"/>
        <rFont val="Consolas"/>
        <family val="3"/>
      </rPr>
      <t>,                                                             (Difficulty to understand numbers)</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</si>
  <si>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 xml:space="preserve">"120"                                                               </t>
    </r>
    <r>
      <rPr>
        <sz val="9"/>
        <rFont val="Consolas"/>
        <family val="3"/>
      </rPr>
      <t>(Difficulty to understand numbers)</t>
    </r>
  </si>
  <si>
    <r>
      <t xml:space="preserve">                </t>
    </r>
    <r>
      <rPr>
        <sz val="9"/>
        <color rgb="FFA31515"/>
        <rFont val="Consolas"/>
        <family val="3"/>
      </rPr>
      <t>"spese_incluse"</t>
    </r>
    <r>
      <rPr>
        <sz val="9"/>
        <color rgb="FF3B3B3B"/>
        <rFont val="Consolas"/>
        <family val="3"/>
      </rPr>
      <t xml:space="preserve">: </t>
    </r>
    <r>
      <rPr>
        <sz val="9"/>
        <color rgb="FFA31515"/>
        <rFont val="Consolas"/>
        <family val="3"/>
      </rPr>
      <t xml:space="preserve">"servizio di videoconferenza e/o audioconferenza"          </t>
    </r>
    <r>
      <rPr>
        <sz val="9"/>
        <rFont val="Consolas"/>
        <family val="3"/>
      </rPr>
      <t>(ALLUCINAZIONE: response generated extra garbage with correct answer)</t>
    </r>
  </si>
  <si>
    <t xml:space="preserve">analogo, a ffine e  c omunque c onnesso a l proprio, s ia </t>
  </si>
  <si>
    <t xml:space="preserve">L'organo d i c ontrollo è  c omposto, a lternativamente, s u </t>
  </si>
  <si>
    <t xml:space="preserve">o s uperiore a l d ecimo d el c apitale s ociale, d i b eni o  di </t>
  </si>
  <si>
    <t xml:space="preserve">risultanti d al b ilancio, d ovrà e ssere d estinata a  riserva </t>
  </si>
  <si>
    <t xml:space="preserve">patrimoniali, nei limi di legge. De diri sono modiﬁcabili con decisione unanime dei soci. </t>
  </si>
  <si>
    <t xml:space="preserve">Il pao di prelazione previsto dal presente arcolo: </t>
  </si>
  <si>
    <t xml:space="preserve">uno o più amministratori o tan soci che rappresenno almeno un terzo del capitale sociale. </t>
  </si>
  <si>
    <t xml:space="preserve">- da un consiglio di amministrazione composto da un minimo di 2 (due) ad un massimo di 7 (see) membri; </t>
  </si>
  <si>
    <t xml:space="preserve">d) possono essere coopta nei casi e con le modalità di legge. </t>
  </si>
  <si>
    <t xml:space="preserve">dagli amministratori risulno con chiarezza l'argomento oggeo della decisione ed il consenso alla stessa. </t>
  </si>
  <si>
    <t xml:space="preserve">9.4.4 Deliberazioni </t>
  </si>
  <si>
    <t xml:space="preserve">zioni da essi possedute. </t>
  </si>
  <si>
    <t xml:space="preserve">montare inferiore ad un Euro o multipli di Euro. </t>
  </si>
  <si>
    <t xml:space="preserve">borso dei titoli; </t>
  </si>
  <si>
    <t xml:space="preserve">ARTICOLO 27 </t>
  </si>
  <si>
    <t xml:space="preserve">4.2. Il RTI composto da Codess Sanità srl, Il Gabbi ano 2.0 s.c.s., Medical </t>
  </si>
  <si>
    <t xml:space="preserve">di informazione tra i consorziati in merito all'ese cuzione del contratto di </t>
  </si>
  <si>
    <t xml:space="preserve">un Regolamento interno. I soci sono tenuti alla scr upolosa osservanza delle </t>
  </si>
  <si>
    <t xml:space="preserve">(a) il socio che intenda trasferire, in tutto o in p arte, la partecipazione o il </t>
  </si>
  <si>
    <t xml:space="preserve">intervenuti o informati della riunione tutti gli Am ministratori in carica e i </t>
  </si>
  <si>
    <t xml:space="preserve">ARTICOLO 9 - INTERVENTO IN ASSEMBLEA </t>
  </si>
  <si>
    <t xml:space="preserve">per i membri del Consiglio di Amministrazione, tale  delibera stante la natura </t>
  </si>
  <si>
    <t xml:space="preserve">12.4 Qualora, per qualunque motivo, venga a mancare  un consigliere di </t>
  </si>
  <si>
    <t xml:space="preserve">ter cod. civ.; </t>
  </si>
  <si>
    <t xml:space="preserve">17.1 La rappresentanza della società sia nei rappor ti con i terzi che in </t>
  </si>
  <si>
    <t xml:space="preserve">occorra per l'esecuzione dei servizi. </t>
  </si>
  <si>
    <t xml:space="preserve">b) mettere a disposizione della Società Consortile, in proporzione alla propria </t>
  </si>
  <si>
    <t xml:space="preserve">21.2 Al termine di ogni esercizio il Consiglio di A mministrazione provvede </t>
  </si>
  <si>
    <t xml:space="preserve">ARTICOLO 23 - RECESSO </t>
  </si>
  <si>
    <t xml:space="preserve">scioglimento previste dalla legge; </t>
  </si>
  <si>
    <t xml:space="preserve">escluso nei confronti della Società, degli altri so ci consorziati, della </t>
  </si>
  <si>
    <t xml:space="preserve">l) per l’effetto, allorquando gli altri soci consor ziati procederanno al </t>
  </si>
  <si>
    <t xml:space="preserve">dell’organo amministrativo; in conseguenza di detta  nomina non potranno </t>
  </si>
  <si>
    <t xml:space="preserve">Collegio spetterà a rotazione a ciascuno socio di m inoranza, ovvero Codess </t>
  </si>
  <si>
    <t xml:space="preserve">D. Lgs. 7 marzo 2005 n. 82. </t>
  </si>
  <si>
    <r>
      <t xml:space="preserve">                </t>
    </r>
    <r>
      <rPr>
        <sz val="9"/>
        <color rgb="FFA31515"/>
        <rFont val="Consolas"/>
        <family val="3"/>
      </rPr>
      <t>"percentuale_utili"</t>
    </r>
    <r>
      <rPr>
        <sz val="9"/>
        <color rgb="FF3B3B3B"/>
        <rFont val="Consolas"/>
        <family val="3"/>
      </rPr>
      <t xml:space="preserve">: </t>
    </r>
    <r>
      <rPr>
        <sz val="9"/>
        <color rgb="FF098658"/>
        <rFont val="Consolas"/>
        <family val="3"/>
      </rPr>
      <t>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</si>
  <si>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"90"</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</si>
  <si>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12</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</si>
  <si>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11</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11</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</si>
  <si>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11</t>
    </r>
    <r>
      <rPr>
        <sz val="9"/>
        <color rgb="FF3B3B3B"/>
        <rFont val="Consolas"/>
        <family val="3"/>
      </rPr>
      <t xml:space="preserve">, </t>
    </r>
    <r>
      <rPr>
        <sz val="9"/>
        <color rgb="FF098658"/>
        <rFont val="Consolas"/>
        <family val="3"/>
      </rPr>
      <t>11</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</si>
  <si>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</si>
  <si>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11</t>
    </r>
    <r>
      <rPr>
        <sz val="9"/>
        <color rgb="FF3B3B3B"/>
        <rFont val="Consolas"/>
        <family val="3"/>
      </rPr>
      <t xml:space="preserve">, </t>
    </r>
    <r>
      <rPr>
        <sz val="9"/>
        <color rgb="FF098658"/>
        <rFont val="Consolas"/>
        <family val="3"/>
      </rPr>
      <t>11</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</si>
  <si>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11</t>
    </r>
    <r>
      <rPr>
        <sz val="9"/>
        <color rgb="FF3B3B3B"/>
        <rFont val="Consolas"/>
        <family val="3"/>
      </rPr>
      <t xml:space="preserve">, </t>
    </r>
    <r>
      <rPr>
        <sz val="9"/>
        <color rgb="FF098658"/>
        <rFont val="Consolas"/>
        <family val="3"/>
      </rPr>
      <t>11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</si>
  <si>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19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</si>
  <si>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12</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</si>
  <si>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</si>
  <si>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12</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</si>
  <si>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19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</si>
  <si>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19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</si>
  <si>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20</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</si>
  <si>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</si>
  <si>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</si>
  <si>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19</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19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</si>
  <si>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6</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</si>
  <si>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</si>
  <si>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81</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</si>
  <si>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87</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</si>
  <si>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87</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89</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</si>
  <si>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80</t>
    </r>
    <r>
      <rPr>
        <sz val="9"/>
        <color rgb="FF3B3B3B"/>
        <rFont val="Consolas"/>
        <family val="3"/>
      </rPr>
      <t xml:space="preserve">, </t>
    </r>
    <r>
      <rPr>
        <sz val="9"/>
        <color rgb="FF098658"/>
        <rFont val="Consolas"/>
        <family val="3"/>
      </rPr>
      <t>81</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</si>
  <si>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75</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</si>
  <si>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89</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</si>
  <si>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70</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</si>
  <si>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70</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</si>
  <si>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89</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</si>
  <si>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82</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</si>
  <si>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71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</si>
  <si>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85</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</si>
  <si>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70</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</si>
  <si>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73</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</si>
  <si>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</si>
  <si>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68</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71</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</si>
  <si>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67</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80</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</si>
  <si>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67</t>
    </r>
    <r>
      <rPr>
        <sz val="9"/>
        <color rgb="FF3B3B3B"/>
        <rFont val="Consolas"/>
        <family val="3"/>
      </rPr>
      <t xml:space="preserve">, </t>
    </r>
    <r>
      <rPr>
        <sz val="9"/>
        <color rgb="FF098658"/>
        <rFont val="Consolas"/>
        <family val="3"/>
      </rPr>
      <t>67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</si>
  <si>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</si>
  <si>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</si>
  <si>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</si>
  <si>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</si>
  <si>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</si>
  <si>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36</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</si>
  <si>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</si>
  <si>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</si>
  <si>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33</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</si>
  <si>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</si>
  <si>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22</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</si>
  <si>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29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</si>
  <si>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24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</si>
  <si>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29</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</si>
  <si>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</si>
  <si>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</si>
  <si>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22</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</si>
  <si>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46</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</si>
  <si>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58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</si>
  <si>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38</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38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</si>
  <si>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</si>
  <si>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61</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</si>
  <si>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</si>
  <si>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44</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</si>
  <si>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</si>
  <si>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</si>
  <si>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39</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63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</si>
  <si>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50</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</si>
  <si>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44</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</si>
  <si>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</si>
  <si>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63</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</si>
  <si>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</si>
  <si>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64</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38</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</si>
  <si>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38</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</si>
  <si>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esercizi sociali si chiudono al 31 dicembre di ogni anno."</t>
    </r>
  </si>
  <si>
    <r>
      <t xml:space="preserve">                </t>
    </r>
    <r>
      <rPr>
        <sz val="9"/>
        <color rgb="FFA31515"/>
        <rFont val="Consolas"/>
        <family val="3"/>
      </rPr>
      <t>"misura_indennita"</t>
    </r>
    <r>
      <rPr>
        <sz val="9"/>
        <color rgb="FF3B3B3B"/>
        <rFont val="Consolas"/>
        <family val="3"/>
      </rPr>
      <t xml:space="preserve">: </t>
    </r>
    <r>
      <rPr>
        <sz val="9"/>
        <color rgb="FFA31515"/>
        <rFont val="Consolas"/>
        <family val="3"/>
      </rPr>
      <t>"fissa o proporzionale ai utili netti dell'azienda"</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</si>
  <si>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verranno ripartiti tra i soci in misura proporzionale alla partecipazione di ciascuno posseduta, salvo diversa decisione dei soci."</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</si>
  <si>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2060, salvo proroga o scioglimento anticipato"</t>
    </r>
  </si>
  <si>
    <r>
      <t xml:space="preserve">                </t>
    </r>
    <r>
      <rPr>
        <sz val="9"/>
        <color rgb="FFA31515"/>
        <rFont val="Consolas"/>
        <family val="3"/>
      </rPr>
      <t>"misura_indennita"</t>
    </r>
    <r>
      <rPr>
        <sz val="9"/>
        <color rgb="FF3B3B3B"/>
        <rFont val="Consolas"/>
        <family val="3"/>
      </rPr>
      <t xml:space="preserve">: </t>
    </r>
    <r>
      <rPr>
        <sz val="9"/>
        <color rgb="FFA31515"/>
        <rFont val="Consolas"/>
        <family val="3"/>
      </rPr>
      <t>"solo se l'Assemblea dei soci lo decide"</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</si>
  <si>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non producono utili e dividendi tra i soci consorziati, ma vengono ristornati agli stessi secondo quanto deliberato dall'Assemblea."</t>
    </r>
  </si>
  <si>
    <r>
      <t xml:space="preserve">                </t>
    </r>
    <r>
      <rPr>
        <sz val="9"/>
        <color rgb="FFA31515"/>
        <rFont val="Consolas"/>
        <family val="3"/>
      </rPr>
      <t>"spese_incluse"</t>
    </r>
    <r>
      <rPr>
        <sz val="9"/>
        <color rgb="FF3B3B3B"/>
        <rFont val="Consolas"/>
        <family val="3"/>
      </rPr>
      <t xml:space="preserve">: </t>
    </r>
    <r>
      <rPr>
        <sz val="9"/>
        <color rgb="FFA31515"/>
        <rFont val="Consolas"/>
        <family val="3"/>
      </rPr>
      <t>"viaggio, spese di trasporto, pasti, altre spese connesse all'ufficio"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</si>
  <si>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"determinato con decisione valida fino a modifica e non può essere inferito oltre ciò che è esplicitamente scritto"</t>
    </r>
  </si>
  <si>
    <r>
      <t xml:space="preserve">                </t>
    </r>
    <r>
      <rPr>
        <sz val="9"/>
        <color rgb="FFA31515"/>
        <rFont val="Consolas"/>
        <family val="3"/>
      </rPr>
      <t>"spese_incluse"</t>
    </r>
    <r>
      <rPr>
        <sz val="9"/>
        <color rgb="FF3B3B3B"/>
        <rFont val="Consolas"/>
        <family val="3"/>
      </rPr>
      <t xml:space="preserve">: </t>
    </r>
    <r>
      <rPr>
        <sz val="9"/>
        <color rgb="FFA31515"/>
        <rFont val="Consolas"/>
        <family val="3"/>
      </rPr>
      <t>"quelle relative al loro incarico di amministratore"</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</si>
  <si>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fissa all'atto della loro nomina o successivamente, oppure in misura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</si>
  <si>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è fissata in misura fissa o proporzionale ai utili netti dell'azienda."</t>
    </r>
  </si>
  <si>
    <r>
      <t xml:space="preserve">                </t>
    </r>
    <r>
      <rPr>
        <sz val="9"/>
        <color rgb="FFA31515"/>
        <rFont val="Consolas"/>
        <family val="3"/>
      </rPr>
      <t>"A"</t>
    </r>
    <r>
      <rPr>
        <sz val="9"/>
        <color rgb="FF3B3B3B"/>
        <rFont val="Consolas"/>
        <family val="3"/>
      </rPr>
      <t xml:space="preserve">: </t>
    </r>
    <r>
      <rPr>
        <sz val="9"/>
        <color rgb="FFA31515"/>
        <rFont val="Consolas"/>
        <family val="3"/>
      </rPr>
      <t>"Un quinto degli utili netti risultanti dal bilancio."</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</si>
  <si>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10.000,00 (diecimila/00) diviso in quote."</t>
    </r>
  </si>
  <si>
    <r>
      <t xml:space="preserve">                </t>
    </r>
    <r>
      <rPr>
        <sz val="9"/>
        <color rgb="FFA31515"/>
        <rFont val="Consolas"/>
        <family val="3"/>
      </rPr>
      <t>"A"</t>
    </r>
    <r>
      <rPr>
        <sz val="9"/>
        <color rgb="FF3B3B3B"/>
        <rFont val="Consolas"/>
        <family val="3"/>
      </rPr>
      <t xml:space="preserve">: </t>
    </r>
    <r>
      <rPr>
        <sz val="9"/>
        <color rgb="FFA31515"/>
        <rFont val="Consolas"/>
        <family val="3"/>
      </rPr>
      <t>"L'assemblea deve essere convocata almeno una volta all'anno per l'approvazione del bilancio. Non ho trovato la risposta nei documenti forniti."</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</si>
  <si>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verranno ripartiti tra i soci in misura proporzionale alla partecipazione di ciascuno posseduta, salvo diversa decisione dei soci."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</si>
  <si>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31 dicembre 2060, salvo proroga o scioglimento anticipato."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</si>
  <si>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ma solo se l'Assemblea dei soci lo decide. L'articolo 11, punto 3, stabilisce che l'Assemblea può determinare compensi per i membri del Consiglio di Amministrazione, ma tale decisione è esclusiva dell'Assemblea e non può essere presa senza la sua approvazione."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</si>
  <si>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30.000,00 (trentamila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</si>
  <si>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"Entro 90 giorni dalla chiusura dell'esercizio sociale, il bilancio d'esercizio deve essere approvato dall'Assemblea. In presenza di particolari esigenze, il termine può essere prorogato fino a 120 giorni."</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</si>
  <si>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non producono utili e dividendi tra i soci consorziati, ma vengono ristornati agli stessi secondo quanto deliberato dall'Assemblea."</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</si>
  <si>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che possono essere rimborse includono quelle relative al viaggio, alle spese di trasporto, ai pasti e ad altre spese connesse all'ufficio."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</si>
  <si>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Il compenso è determinato con decisione valida fino a modifica e non può essere inferito oltre ciò che è esplicitamente scritto."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</si>
  <si>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deliberare l'accantonamento per il relativo fondo di quiescenza degli amministratori."</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</si>
  <si>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ovvero entro centotrenta giorni qualora ricorrano le condizioni previste dall'ultimo comma dell'art. 2364 c.c."</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</si>
  <si>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che possono essere rimborsate includono quelle relative al loro incarico di amministratore."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</si>
  <si>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può essere stabilita in misura fissa all'atto della loro nomina o successivamente, oppure può essere assegnata in misura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</si>
  <si>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fissato in euro 15.000,00 (euro quindicemila)."</t>
    </r>
  </si>
  <si>
    <r>
      <t xml:space="preserve">                </t>
    </r>
    <r>
      <rPr>
        <sz val="9"/>
        <color rgb="FFA31515"/>
        <rFont val="Consolas"/>
        <family val="3"/>
      </rPr>
      <t>"A"</t>
    </r>
    <r>
      <rPr>
        <sz val="9"/>
        <color rgb="FF3B3B3B"/>
        <rFont val="Consolas"/>
        <family val="3"/>
      </rPr>
      <t xml:space="preserve">: </t>
    </r>
    <r>
      <rPr>
        <sz val="9"/>
        <color rgb="FFA31515"/>
        <rFont val="Consolas"/>
        <family val="3"/>
      </rPr>
      <t>"Entro centotrenta giorni dalla chiusura dell'esercizio sociale. In caso di particolari esigenze, il termine può essere prorogato fino a centoventi giorni."</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</si>
  <si>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devono essere destinati alla riserva legale finchè questa non abbia raggiunto il quinto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</si>
  <si>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dicembre duemilasecchiotto (31 dicembre 2060)."</t>
    </r>
  </si>
  <si>
    <r>
      <t xml:space="preserve">                </t>
    </r>
    <r>
      <rPr>
        <sz val="8"/>
        <color rgb="FFA31515"/>
        <rFont val="Consolas"/>
        <family val="3"/>
      </rPr>
      <t>"analyze_query"</t>
    </r>
    <r>
      <rPr>
        <sz val="8"/>
        <color rgb="FF3B3B3B"/>
        <rFont val="Consolas"/>
        <family val="3"/>
      </rPr>
      <t xml:space="preserve">: </t>
    </r>
    <r>
      <rPr>
        <sz val="8"/>
        <color rgb="FFA31515"/>
        <rFont val="Consolas"/>
        <family val="3"/>
      </rPr>
      <t>"13.169 s"</t>
    </r>
    <r>
      <rPr>
        <sz val="8"/>
        <color rgb="FF3B3B3B"/>
        <rFont val="Consolas"/>
        <family val="3"/>
      </rPr>
      <t>,</t>
    </r>
  </si>
  <si>
    <r>
      <t xml:space="preserve">                </t>
    </r>
    <r>
      <rPr>
        <sz val="8"/>
        <color rgb="FFA31515"/>
        <rFont val="Consolas"/>
        <family val="3"/>
      </rPr>
      <t>"retrieve"</t>
    </r>
    <r>
      <rPr>
        <sz val="8"/>
        <color rgb="FF3B3B3B"/>
        <rFont val="Consolas"/>
        <family val="3"/>
      </rPr>
      <t xml:space="preserve">: </t>
    </r>
    <r>
      <rPr>
        <sz val="8"/>
        <color rgb="FFA31515"/>
        <rFont val="Consolas"/>
        <family val="3"/>
      </rPr>
      <t>"0.211 s"</t>
    </r>
    <r>
      <rPr>
        <sz val="8"/>
        <color rgb="FF3B3B3B"/>
        <rFont val="Consolas"/>
        <family val="3"/>
      </rPr>
      <t>,</t>
    </r>
  </si>
  <si>
    <r>
      <t xml:space="preserve">                </t>
    </r>
    <r>
      <rPr>
        <sz val="8"/>
        <color rgb="FFA31515"/>
        <rFont val="Consolas"/>
        <family val="3"/>
      </rPr>
      <t>"generate"</t>
    </r>
    <r>
      <rPr>
        <sz val="8"/>
        <color rgb="FF3B3B3B"/>
        <rFont val="Consolas"/>
        <family val="3"/>
      </rPr>
      <t xml:space="preserve">: </t>
    </r>
    <r>
      <rPr>
        <sz val="8"/>
        <color rgb="FFA31515"/>
        <rFont val="Consolas"/>
        <family val="3"/>
      </rPr>
      <t>"92.170 s"</t>
    </r>
    <r>
      <rPr>
        <sz val="8"/>
        <color rgb="FF3B3B3B"/>
        <rFont val="Consolas"/>
        <family val="3"/>
      </rPr>
      <t>,</t>
    </r>
  </si>
  <si>
    <r>
      <t xml:space="preserve">                </t>
    </r>
    <r>
      <rPr>
        <sz val="8"/>
        <color rgb="FFA31515"/>
        <rFont val="Consolas"/>
        <family val="3"/>
      </rPr>
      <t>"re_ranking"</t>
    </r>
    <r>
      <rPr>
        <sz val="8"/>
        <color rgb="FF3B3B3B"/>
        <rFont val="Consolas"/>
        <family val="3"/>
      </rPr>
      <t xml:space="preserve">: </t>
    </r>
    <r>
      <rPr>
        <sz val="8"/>
        <color rgb="FFA31515"/>
        <rFont val="Consolas"/>
        <family val="3"/>
      </rPr>
      <t>"4.336 s"</t>
    </r>
    <r>
      <rPr>
        <sz val="8"/>
        <color rgb="FF3B3B3B"/>
        <rFont val="Consolas"/>
        <family val="3"/>
      </rPr>
      <t>,</t>
    </r>
  </si>
  <si>
    <r>
      <t xml:space="preserve">                </t>
    </r>
    <r>
      <rPr>
        <sz val="8"/>
        <color rgb="FFA31515"/>
        <rFont val="Consolas"/>
        <family val="3"/>
      </rPr>
      <t>"overall"</t>
    </r>
    <r>
      <rPr>
        <sz val="8"/>
        <color rgb="FF3B3B3B"/>
        <rFont val="Consolas"/>
        <family val="3"/>
      </rPr>
      <t xml:space="preserve">: </t>
    </r>
    <r>
      <rPr>
        <sz val="8"/>
        <color rgb="FFA31515"/>
        <rFont val="Consolas"/>
        <family val="3"/>
      </rPr>
      <t>"119.67999999999999 s"</t>
    </r>
    <r>
      <rPr>
        <sz val="8"/>
        <color rgb="FF3B3B3B"/>
        <rFont val="Consolas"/>
        <family val="3"/>
      </rPr>
      <t>,</t>
    </r>
  </si>
  <si>
    <r>
      <t xml:space="preserve">                </t>
    </r>
    <r>
      <rPr>
        <sz val="8"/>
        <color rgb="FFA31515"/>
        <rFont val="Consolas"/>
        <family val="3"/>
      </rPr>
      <t>"extract_sub_module"</t>
    </r>
    <r>
      <rPr>
        <sz val="8"/>
        <color rgb="FF3B3B3B"/>
        <rFont val="Consolas"/>
        <family val="3"/>
      </rPr>
      <t xml:space="preserve">: </t>
    </r>
    <r>
      <rPr>
        <sz val="8"/>
        <color rgb="FFA31515"/>
        <rFont val="Consolas"/>
        <family val="3"/>
      </rPr>
      <t>"9.648 s"</t>
    </r>
  </si>
  <si>
    <r>
      <t xml:space="preserve">                </t>
    </r>
    <r>
      <rPr>
        <sz val="9"/>
        <color rgb="FFA31515"/>
        <rFont val="Consolas"/>
        <family val="3"/>
      </rPr>
      <t>"percentuale_utili"</t>
    </r>
    <r>
      <rPr>
        <sz val="9"/>
        <color rgb="FF3B3B3B"/>
        <rFont val="Consolas"/>
        <family val="3"/>
      </rPr>
      <t xml:space="preserve">: </t>
    </r>
    <r>
      <rPr>
        <sz val="9"/>
        <color rgb="FF098658"/>
        <rFont val="Consolas"/>
        <family val="3"/>
      </rPr>
      <t>0.5</t>
    </r>
  </si>
  <si>
    <t>            BilanciUtili: 0.600</t>
  </si>
  <si>
    <t>    Avg. Company accuracy:  0.702</t>
  </si>
  <si>
    <t>        CompensoAmministratori: 0.850</t>
  </si>
  <si>
    <t>        BilanciUtili: 0.522</t>
  </si>
  <si>
    <t>        Avg. Group Runtime:  119.680 s</t>
  </si>
  <si>
    <t>            CompensoAmministratori: 119.680 s</t>
  </si>
  <si>
    <t>            BilanciUtili: 119.680 s</t>
  </si>
  <si>
    <t>            InfoGenerali: 119.680 s</t>
  </si>
  <si>
    <t>    Avg. Company Runtime:  119.680 s</t>
  </si>
  <si>
    <t>        CompensoAmministratori: 119.680 s</t>
  </si>
  <si>
    <t>        BilanciUtili: 119.680 s</t>
  </si>
  <si>
    <t>        InfoGenerali: 119.680 s</t>
  </si>
  <si>
    <r>
      <t xml:space="preserve">                </t>
    </r>
    <r>
      <rPr>
        <sz val="9"/>
        <color rgb="FFA31515"/>
        <rFont val="Consolas"/>
        <family val="3"/>
      </rPr>
      <t>"percentuale_utili"</t>
    </r>
    <r>
      <rPr>
        <sz val="9"/>
        <color rgb="FF3B3B3B"/>
        <rFont val="Consolas"/>
        <family val="3"/>
      </rPr>
      <t xml:space="preserve">: </t>
    </r>
    <r>
      <rPr>
        <sz val="9"/>
        <color rgb="FFA31515"/>
        <rFont val="Consolas"/>
        <family val="3"/>
      </rPr>
      <t xml:space="preserve">"Un quinto"                                                      </t>
    </r>
    <r>
      <rPr>
        <sz val="9"/>
        <rFont val="Consolas"/>
        <family val="3"/>
      </rPr>
      <t xml:space="preserve"> (re-ranker send the same doc twice)</t>
    </r>
  </si>
  <si>
    <r>
      <t xml:space="preserve">                </t>
    </r>
    <r>
      <rPr>
        <sz val="9"/>
        <color rgb="FFA31515"/>
        <rFont val="Consolas"/>
        <family val="3"/>
      </rPr>
      <t>"misura_indennita"</t>
    </r>
    <r>
      <rPr>
        <sz val="9"/>
        <color rgb="FF3B3B3B"/>
        <rFont val="Consolas"/>
        <family val="3"/>
      </rPr>
      <t>: 1</t>
    </r>
  </si>
  <si>
    <t>D</t>
  </si>
  <si>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"130"</t>
    </r>
    <r>
      <rPr>
        <sz val="9"/>
        <color rgb="FF3B3B3B"/>
        <rFont val="Consolas"/>
        <family val="3"/>
      </rPr>
      <t xml:space="preserve">,                           </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</si>
  <si>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 xml:space="preserve">"130"                                    </t>
    </r>
    <r>
      <rPr>
        <sz val="9"/>
        <rFont val="Consolas"/>
        <family val="3"/>
      </rPr>
      <t>(centottanta è scritto centoanta nei chunks)</t>
    </r>
  </si>
  <si>
    <t>SUMMARY:</t>
  </si>
  <si>
    <t>    Accuracy:</t>
  </si>
  <si>
    <t>        Avg. Company accuracy:  0.702</t>
  </si>
  <si>
    <t>        Avg. per Group Accuracies:</t>
  </si>
  <si>
    <t>            CompensoAmministratori: 0.850</t>
  </si>
  <si>
    <t>            BilanciUtili: 0.522</t>
  </si>
  <si>
    <t xml:space="preserve">    Runtime: </t>
  </si>
  <si>
    <t>        Avg. Company Runtime:  119.680 s</t>
  </si>
  <si>
    <t>        Avg. per Group Runtimes:</t>
  </si>
  <si>
    <t xml:space="preserve">    Context Precision: </t>
  </si>
  <si>
    <t>        Avg CP Overall: {'retrieved_CP': 0.203, 're_ranked_CP': 0.479}</t>
  </si>
  <si>
    <t>        Avg CP Per Group:</t>
  </si>
  <si>
    <t>            CompensoAmministratori: {'retrieved_CP': 0.065, 're_ranked_CP': 0.167}</t>
  </si>
  <si>
    <t>            BilanciUtili: {'retrieved_CP': 0.052, 're_ranked_CP': 0.15}</t>
  </si>
  <si>
    <t>            InfoGenerali: {'retrieved_CP': 0.05, 're_ranked_CP': 0.125}</t>
  </si>
  <si>
    <t xml:space="preserve">    Context Recall: </t>
  </si>
  <si>
    <t>            CompensoAmministratori: {'retrieved_CR': 0.25, 're_ranked_CR': 0.25}</t>
  </si>
  <si>
    <t>            BilanciUtili: {'retrieved_CR': 0.2, 're_ranked_CR': 0.2}</t>
  </si>
  <si>
    <t>            InfoGenerali: {'retrieved_CR': 0.25, 're_ranked_CR': 0.25}</t>
  </si>
  <si>
    <t xml:space="preserve">DETAILS: </t>
  </si>
  <si>
    <t>    Company:  poliambulatorio 3d s.r.l.</t>
  </si>
  <si>
    <t> ---------------------------------------- xxxxx ----------------------------------------</t>
  </si>
  <si>
    <t>    Company:  ospedale tortona società consortile a r.l.</t>
  </si>
  <si>
    <t>    Company:  unica società benefit a r.l.</t>
  </si>
  <si>
    <t>    Company:  secur system group di romeo s.r.l.</t>
  </si>
  <si>
    <t>CONTEXT PRECISION:</t>
  </si>
  <si>
    <t>        Avg. Group CP:  {'retrieved_CP': 0.224, 're_ranked_CP': 0.5}</t>
  </si>
  <si>
    <t>        Per Group CP:</t>
  </si>
  <si>
    <t>            CompensoAmministratori: {'retrieved_CP': 0.167, 're_ranked_CP': 0.667}</t>
  </si>
  <si>
    <t>            BilanciUtili: {'retrieved_CP': 0.253, 're_ranked_CP': 0.4}</t>
  </si>
  <si>
    <t>            InfoGenerali: {'retrieved_CP': 0.25, 're_ranked_CP': 0.5}</t>
  </si>
  <si>
    <t>        Avg. Group CP:  {'retrieved_CP': 0.122, 're_ranked_CP': 0.306}</t>
  </si>
  <si>
    <t>            CompensoAmministratori: {'retrieved_CP': 0.067, 're_ranked_CP': 0.0}</t>
  </si>
  <si>
    <t>            BilanciUtili: {'retrieved_CP': 0.13, 're_ranked_CP': 0.35}</t>
  </si>
  <si>
    <t>            InfoGenerali: {'retrieved_CP': 0.25, 're_ranked_CP': 1.0}</t>
  </si>
  <si>
    <t>        Avg. Group CP:  {'retrieved_CP': 0.244, 're_ranked_CP': 0.5}</t>
  </si>
  <si>
    <t>            CompensoAmministratori: {'retrieved_CP': 0.306, 're_ranked_CP': 0.5}</t>
  </si>
  <si>
    <t>            BilanciUtili: {'retrieved_CP': 0.207, 're_ranked_CP': 0.5}</t>
  </si>
  <si>
    <t>        Avg. Group CP:  {'retrieved_CP': 0.224, 're_ranked_CP': 0.611}</t>
  </si>
  <si>
    <t>            CompensoAmministratori: {'retrieved_CP': 0.261, 're_ranked_CP': 0.667}</t>
  </si>
  <si>
    <t>            BilanciUtili: {'retrieved_CP': 0.207, 're_ranked_CP': 0.6}</t>
  </si>
  <si>
    <t>            InfoGenerali: {'retrieved_CP': 0.2, 're_ranked_CP': 0.5}</t>
  </si>
  <si>
    <t xml:space="preserve">Overall Context Precision: </t>
  </si>
  <si>
    <t>    Avg CP Overall: {'retrieved_CP': 0.203, 're_ranked_CP': 0.479}</t>
  </si>
  <si>
    <t>    Avg CP Per Group:</t>
  </si>
  <si>
    <t>        CompensoAmministratori: {'retrieved_CP': 0.065, 're_ranked_CP': 0.167}</t>
  </si>
  <si>
    <t>        BilanciUtili: {'retrieved_CP': 0.052, 're_ranked_CP': 0.15}</t>
  </si>
  <si>
    <t>        InfoGenerali: {'retrieved_CP': 0.05, 're_ranked_CP': 0.125}</t>
  </si>
  <si>
    <t>    Avg CP Per Sub-Group:</t>
  </si>
  <si>
    <t>        CompensoAmministratori:</t>
  </si>
  <si>
    <t>            Rimborso: {'retrieved_CP': 0.05, 're_ranked_CP': 0.125}</t>
  </si>
  <si>
    <t>            IndennitaAnnuale: {'retrieved_CP': 0.083, 're_ranked_CP': 0.25}</t>
  </si>
  <si>
    <t>            IndennitaCessazione: {'retrieved_CP': 0.062, 're_ranked_CP': 0.125}</t>
  </si>
  <si>
    <t>        BilanciUtili:</t>
  </si>
  <si>
    <t>            PercentualeRiservaLegale: {'retrieved_CP': 0.0, 're_ranked_CP': 0.0}</t>
  </si>
  <si>
    <t>            CapitaleSociale: {'retrieved_CP': 0.062, 're_ranked_CP': 0.25}</t>
  </si>
  <si>
    <t>            TermineApprovazioneBilancio: {'retrieved_CP': 0.083, 're_ranked_CP': 0.125}</t>
  </si>
  <si>
    <t>            DataChiusuraEsercizio: {'retrieved_CP': 0.062, 're_ranked_CP': 0.25}</t>
  </si>
  <si>
    <t>            UtiliResidui: {'retrieved_CP': 0.05, 're_ranked_CP': 0.125}</t>
  </si>
  <si>
    <t>        InfoGenerali:</t>
  </si>
  <si>
    <t>            Durata: {'retrieved_CP': 0.05, 're_ranked_CP': 0.125}</t>
  </si>
  <si>
    <t>CONTEXT Recall:</t>
  </si>
  <si>
    <t>        Avg. Group CP:  {'retrieved_CR': 0.889, 're_ranked_CR': 0.667}</t>
  </si>
  <si>
    <t>            CompensoAmministratori: {'retrieved_CR': 0.667, 're_ranked_CR': 0.667}</t>
  </si>
  <si>
    <t>            BilanciUtili: {'retrieved_CR': 1.0, 're_ranked_CR': 0.6}</t>
  </si>
  <si>
    <t>            InfoGenerali: {'retrieved_CR': 1.0, 're_ranked_CR': 1.0}</t>
  </si>
  <si>
    <t>            CompensoAmministratori: {'retrieved_CR': 1.0, 're_ranked_CR': 1.0}</t>
  </si>
  <si>
    <t>        Avg. Group CP:  {'retrieved_CR': 0.889, 're_ranked_CR': 0.889}</t>
  </si>
  <si>
    <t>            BilanciUtili: {'retrieved_CR': 0.8, 're_ranked_CR': 0.8}</t>
  </si>
  <si>
    <t xml:space="preserve">Overall Context Recall: </t>
  </si>
  <si>
    <t>        CompensoAmministratori: {'retrieved_CR': 0.25, 're_ranked_CR': 0.25}</t>
  </si>
  <si>
    <t>        BilanciUtili: {'retrieved_CR': 0.2, 're_ranked_CR': 0.2}</t>
  </si>
  <si>
    <t>        InfoGenerali: {'retrieved_CR': 0.25, 're_ranked_CR': 0.25}</t>
  </si>
  <si>
    <t>            Rimborso: {'retrieved_CR': 0.25, 're_ranked_CR': 0.25}</t>
  </si>
  <si>
    <t>            IndennitaAnnuale: {'retrieved_CR': 0.25, 're_ranked_CR': 0.25}</t>
  </si>
  <si>
    <t>            IndennitaCessazione: {'retrieved_CR': 0.25, 're_ranked_CR': 0.25}</t>
  </si>
  <si>
    <t>            PercentualeRiservaLegale: {'retrieved_CR': 0.0, 're_ranked_CR': 0.0}</t>
  </si>
  <si>
    <t>            CapitaleSociale: {'retrieved_CR': 0.25, 're_ranked_CR': 0.25}</t>
  </si>
  <si>
    <t>            TermineApprovazioneBilancio: {'retrieved_CR': 0.25, 're_ranked_CR': 0.25}</t>
  </si>
  <si>
    <t>            DataChiusuraEsercizio: {'retrieved_CR': 0.25, 're_ranked_CR': 0.25}</t>
  </si>
  <si>
    <t>            UtiliResidui: {'retrieved_CR': 0.25, 're_ranked_CR': 0.25}</t>
  </si>
  <si>
    <t>            Durata: {'retrieved_CR': 0.25, 're_ranked_CR': 0.25}</t>
  </si>
  <si>
    <r>
      <t> </t>
    </r>
    <r>
      <rPr>
        <sz val="11"/>
        <color rgb="FFCD3131"/>
        <rFont val="Consolas"/>
        <family val="3"/>
      </rPr>
      <t>------------------------------------------------------------------------------------------------------------------------</t>
    </r>
  </si>
  <si>
    <r>
      <t> </t>
    </r>
    <r>
      <rPr>
        <sz val="11"/>
        <color rgb="FFCD3131"/>
        <rFont val="Consolas"/>
        <family val="3"/>
      </rPr>
      <t>------------------------------------------------------------------------------------------------------------------------</t>
    </r>
    <r>
      <rPr>
        <sz val="11"/>
        <color rgb="FF3B3B3B"/>
        <rFont val="Consolas"/>
        <family val="3"/>
      </rPr>
      <t xml:space="preserve"> </t>
    </r>
  </si>
  <si>
    <t>            BilanciUtili: {'retrieved_CR': 1.0, 're_ranked_CR': 1.0}</t>
  </si>
  <si>
    <t>        Avg CP Overall: {'retrieved_CR': 0.903, 're_ranked_CR': 0.806}</t>
  </si>
  <si>
    <t>        Avg. Group CP:  {'retrieved_CR': 0.833, 're_ranked_CR': 0.667}</t>
  </si>
  <si>
    <t>            CompensoAmministratori: {'retrieved_CR': 1.0, 're_ranked_CR': 0.0}</t>
  </si>
  <si>
    <t>            BilanciUtili: {'retrieved_CR': 0.75, 're_ranked_CR': 0.75}</t>
  </si>
  <si>
    <t>        Avg. Group CP:  {'retrieved_CR': 1.0, 're_ranked_CR': 1.0}</t>
  </si>
  <si>
    <t>    Avg CP Overall: {'retrieved_CR': 0.903, 're_ranked_CR': 0.806}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</si>
</sst>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1"/>
      <name val="Calibri"/>
      <family val="2"/>
      <scheme val="minor"/>
    </font>
    <font>
      <sz val="11"/>
      <color rgb="FFA31515"/>
      <name val="Consolas"/>
      <family val="3"/>
    </font>
    <font>
      <u/>
      <sz val="11"/>
      <color theme="1"/>
      <name val="Calibri"/>
      <family val="2"/>
      <scheme val="minor"/>
    </font>
    <font>
      <sz val="9"/>
      <color rgb="FF3B3B3B"/>
      <name val="Consolas"/>
      <family val="3"/>
    </font>
    <font>
      <sz val="9"/>
      <color rgb="FFA31515"/>
      <name val="Consolas"/>
      <family val="3"/>
    </font>
    <font>
      <sz val="9"/>
      <color rgb="FFEE0000"/>
      <name val="Consolas"/>
      <family val="3"/>
    </font>
    <font>
      <sz val="8"/>
      <color rgb="FF3B3B3B"/>
      <name val="Consolas"/>
      <family val="3"/>
    </font>
    <font>
      <sz val="8"/>
      <color rgb="FFA31515"/>
      <name val="Consolas"/>
      <family val="3"/>
    </font>
    <font>
      <sz val="9"/>
      <color rgb="FF098658"/>
      <name val="Consolas"/>
      <family val="3"/>
    </font>
    <font>
      <sz val="11"/>
      <color rgb="FFFF0000"/>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9"/>
      <name val="Consolas"/>
      <family val="3"/>
    </font>
    <font>
      <sz val="9"/>
      <color theme="1"/>
      <name val="Calibri"/>
      <family val="2"/>
      <scheme val="minor"/>
    </font>
    <font>
      <sz val="11"/>
      <color rgb="FF3B3B3B"/>
      <name val="Consolas"/>
      <family val="3"/>
    </font>
    <font>
      <sz val="11"/>
      <color rgb="FFCD3131"/>
      <name val="Consolas"/>
      <family val="3"/>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0" fillId="2" borderId="0" xfId="0" applyFill="1" applyAlignment="1">
      <alignment vertical="center"/>
    </xf>
    <xf numFmtId="0" fontId="1" fillId="3" borderId="1" xfId="0" applyFont="1" applyFill="1" applyBorder="1" applyAlignment="1">
      <alignment horizontal="center" vertical="top"/>
    </xf>
    <xf numFmtId="0" fontId="0" fillId="3" borderId="0" xfId="0" applyFill="1"/>
    <xf numFmtId="0" fontId="1" fillId="0" borderId="0" xfId="0" applyFont="1" applyAlignment="1">
      <alignment horizontal="center"/>
    </xf>
    <xf numFmtId="0" fontId="3" fillId="0" borderId="0" xfId="0" applyFont="1"/>
    <xf numFmtId="0" fontId="4" fillId="0" borderId="0" xfId="0" applyFont="1" applyAlignment="1">
      <alignment vertical="center"/>
    </xf>
    <xf numFmtId="0" fontId="0" fillId="0" borderId="0" xfId="0" applyAlignment="1">
      <alignment wrapText="1"/>
    </xf>
    <xf numFmtId="0" fontId="7" fillId="0" borderId="0" xfId="0" applyFont="1" applyAlignment="1">
      <alignment vertical="center"/>
    </xf>
    <xf numFmtId="0" fontId="0" fillId="2" borderId="0" xfId="0" applyFont="1" applyFill="1" applyAlignment="1">
      <alignment vertical="center"/>
    </xf>
    <xf numFmtId="0" fontId="1" fillId="0" borderId="0" xfId="0" applyFont="1"/>
    <xf numFmtId="0" fontId="0" fillId="0" borderId="1" xfId="0" applyFont="1" applyBorder="1" applyAlignment="1">
      <alignment horizontal="center" vertical="top"/>
    </xf>
    <xf numFmtId="0" fontId="4" fillId="4" borderId="0" xfId="0" applyFont="1" applyFill="1" applyAlignment="1">
      <alignment vertical="center"/>
    </xf>
    <xf numFmtId="0" fontId="8" fillId="0" borderId="0" xfId="0" applyFont="1" applyAlignment="1">
      <alignment vertical="center"/>
    </xf>
    <xf numFmtId="0" fontId="5" fillId="0" borderId="0" xfId="0" applyFont="1" applyAlignment="1">
      <alignment vertical="center"/>
    </xf>
    <xf numFmtId="0" fontId="0" fillId="0" borderId="1" xfId="0" applyFont="1" applyBorder="1" applyAlignment="1">
      <alignment vertical="top"/>
    </xf>
    <xf numFmtId="0" fontId="10" fillId="3" borderId="0" xfId="0" applyFont="1" applyFill="1" applyAlignment="1">
      <alignment horizontal="center"/>
    </xf>
    <xf numFmtId="0" fontId="4" fillId="0" borderId="0" xfId="0" applyFont="1" applyAlignment="1">
      <alignment vertical="center" wrapText="1"/>
    </xf>
    <xf numFmtId="0" fontId="4" fillId="0" borderId="0" xfId="0" applyFont="1" applyFill="1" applyAlignment="1">
      <alignment vertical="center"/>
    </xf>
    <xf numFmtId="0" fontId="2" fillId="0" borderId="0" xfId="0" applyFont="1" applyAlignment="1">
      <alignment vertical="center" wrapText="1"/>
    </xf>
    <xf numFmtId="0" fontId="16" fillId="2" borderId="0" xfId="0" applyFont="1" applyFill="1" applyAlignment="1">
      <alignment vertical="center"/>
    </xf>
    <xf numFmtId="0" fontId="17" fillId="0" borderId="0" xfId="0" applyFont="1" applyAlignment="1">
      <alignmen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86"/>
  <sheetViews>
    <sheetView topLeftCell="G1" workbookViewId="0">
      <pane ySplit="1" topLeftCell="A2" activePane="bottomLeft" state="frozen"/>
      <selection activeCell="D1" sqref="D1"/>
      <selection pane="bottomLeft" activeCell="A110" sqref="A110"/>
    </sheetView>
  </sheetViews>
  <sheetFormatPr defaultRowHeight="14.4" x14ac:dyDescent="0.3"/>
  <cols>
    <col min="1" max="1" width="128.44140625" bestFit="1" customWidth="1"/>
    <col min="2" max="2" width="8.44140625" style="5" bestFit="1" customWidth="1"/>
    <col min="3" max="3" width="124.109375" bestFit="1" customWidth="1"/>
    <col min="4" max="4" width="8.44140625" style="5" bestFit="1" customWidth="1"/>
    <col min="5" max="5" width="124.109375" bestFit="1" customWidth="1"/>
    <col min="6" max="6" width="8.44140625" style="5" bestFit="1" customWidth="1"/>
    <col min="7" max="7" width="138.88671875" bestFit="1" customWidth="1"/>
    <col min="8" max="8" width="8.44140625" style="5" bestFit="1" customWidth="1"/>
    <col min="9" max="9" width="124.109375" bestFit="1" customWidth="1"/>
  </cols>
  <sheetData>
    <row r="1" spans="1:50" x14ac:dyDescent="0.3">
      <c r="A1" s="6" t="s">
        <v>1460</v>
      </c>
      <c r="B1" s="4"/>
      <c r="C1" s="6" t="s">
        <v>17</v>
      </c>
      <c r="D1" s="4"/>
      <c r="E1" s="13" t="s">
        <v>2958</v>
      </c>
      <c r="F1" s="4"/>
      <c r="G1" s="13" t="s">
        <v>3354</v>
      </c>
      <c r="H1" s="4"/>
      <c r="I1" s="17" t="s">
        <v>3355</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x14ac:dyDescent="0.3">
      <c r="A2" s="2" t="s">
        <v>0</v>
      </c>
      <c r="C2" s="2" t="s">
        <v>0</v>
      </c>
      <c r="E2" s="2" t="s">
        <v>0</v>
      </c>
      <c r="G2" s="2" t="s">
        <v>0</v>
      </c>
      <c r="I2" s="2" t="s">
        <v>0</v>
      </c>
    </row>
    <row r="3" spans="1:50" x14ac:dyDescent="0.3">
      <c r="A3" s="2" t="s">
        <v>1</v>
      </c>
      <c r="C3" s="2" t="s">
        <v>1</v>
      </c>
      <c r="E3" s="2" t="s">
        <v>1</v>
      </c>
      <c r="G3" s="2" t="s">
        <v>4115</v>
      </c>
      <c r="I3" s="2" t="s">
        <v>1</v>
      </c>
    </row>
    <row r="4" spans="1:50" x14ac:dyDescent="0.3">
      <c r="A4" s="3"/>
      <c r="C4" s="11"/>
      <c r="E4" s="11"/>
      <c r="G4" s="11"/>
      <c r="I4" s="11"/>
    </row>
    <row r="5" spans="1:50" x14ac:dyDescent="0.3">
      <c r="A5" s="3"/>
      <c r="C5" s="11"/>
      <c r="E5" s="11"/>
      <c r="G5" s="11"/>
      <c r="I5" s="11"/>
    </row>
    <row r="6" spans="1:50" x14ac:dyDescent="0.3">
      <c r="A6" s="2" t="s">
        <v>2</v>
      </c>
      <c r="C6" s="2" t="s">
        <v>2</v>
      </c>
      <c r="E6" s="2" t="s">
        <v>2</v>
      </c>
      <c r="G6" s="2" t="s">
        <v>4116</v>
      </c>
      <c r="I6" s="2" t="s">
        <v>2</v>
      </c>
    </row>
    <row r="7" spans="1:50" x14ac:dyDescent="0.3">
      <c r="A7" s="2" t="s">
        <v>12</v>
      </c>
      <c r="C7" s="2" t="s">
        <v>12</v>
      </c>
      <c r="E7" s="2" t="s">
        <v>2941</v>
      </c>
      <c r="G7" s="2" t="s">
        <v>4117</v>
      </c>
      <c r="I7" s="2" t="s">
        <v>3337</v>
      </c>
    </row>
    <row r="8" spans="1:50" x14ac:dyDescent="0.3">
      <c r="A8" s="3"/>
      <c r="C8" s="11"/>
      <c r="E8" s="11"/>
      <c r="G8" s="2" t="s">
        <v>4118</v>
      </c>
      <c r="I8" s="11"/>
    </row>
    <row r="9" spans="1:50" x14ac:dyDescent="0.3">
      <c r="A9" s="2" t="s">
        <v>3</v>
      </c>
      <c r="C9" s="2" t="s">
        <v>3</v>
      </c>
      <c r="E9" s="2" t="s">
        <v>3</v>
      </c>
      <c r="G9" s="2" t="s">
        <v>4119</v>
      </c>
      <c r="I9" s="2" t="s">
        <v>3</v>
      </c>
    </row>
    <row r="10" spans="1:50" x14ac:dyDescent="0.3">
      <c r="A10" s="2" t="s">
        <v>13</v>
      </c>
      <c r="C10" s="2" t="s">
        <v>13</v>
      </c>
      <c r="E10" s="2" t="s">
        <v>4</v>
      </c>
      <c r="G10" s="2" t="s">
        <v>4120</v>
      </c>
      <c r="I10" s="2" t="s">
        <v>1365</v>
      </c>
    </row>
    <row r="11" spans="1:50" x14ac:dyDescent="0.3">
      <c r="A11" s="2" t="s">
        <v>5</v>
      </c>
      <c r="C11" s="2" t="s">
        <v>5</v>
      </c>
      <c r="E11" s="2" t="s">
        <v>1363</v>
      </c>
      <c r="G11" s="2" t="s">
        <v>6</v>
      </c>
      <c r="I11" s="2" t="s">
        <v>3338</v>
      </c>
    </row>
    <row r="12" spans="1:50" x14ac:dyDescent="0.3">
      <c r="A12" s="2" t="s">
        <v>6</v>
      </c>
      <c r="C12" s="2" t="s">
        <v>6</v>
      </c>
      <c r="E12" s="2" t="s">
        <v>6</v>
      </c>
      <c r="G12" s="11"/>
      <c r="I12" s="2" t="s">
        <v>6</v>
      </c>
    </row>
    <row r="13" spans="1:50" x14ac:dyDescent="0.3">
      <c r="A13" s="3"/>
      <c r="C13" s="11"/>
      <c r="E13" s="11"/>
      <c r="G13" s="2" t="s">
        <v>4121</v>
      </c>
      <c r="I13" s="11"/>
    </row>
    <row r="14" spans="1:50" x14ac:dyDescent="0.3">
      <c r="A14" s="2" t="s">
        <v>7</v>
      </c>
      <c r="C14" s="2" t="s">
        <v>7</v>
      </c>
      <c r="E14" s="2" t="s">
        <v>7</v>
      </c>
      <c r="G14" s="2" t="s">
        <v>4122</v>
      </c>
      <c r="I14" s="2" t="s">
        <v>7</v>
      </c>
    </row>
    <row r="15" spans="1:50" x14ac:dyDescent="0.3">
      <c r="A15" s="3"/>
      <c r="C15" s="11"/>
      <c r="E15" s="11"/>
      <c r="G15" s="2" t="s">
        <v>4123</v>
      </c>
      <c r="I15" s="11"/>
    </row>
    <row r="16" spans="1:50" x14ac:dyDescent="0.3">
      <c r="A16" s="2" t="s">
        <v>8</v>
      </c>
      <c r="C16" s="2" t="s">
        <v>8</v>
      </c>
      <c r="E16" s="2" t="s">
        <v>8</v>
      </c>
      <c r="G16" s="2" t="s">
        <v>4103</v>
      </c>
      <c r="I16" s="2" t="s">
        <v>8</v>
      </c>
    </row>
    <row r="17" spans="1:9" x14ac:dyDescent="0.3">
      <c r="A17" s="2" t="s">
        <v>1360</v>
      </c>
      <c r="C17" s="2" t="s">
        <v>1360</v>
      </c>
      <c r="E17" s="2" t="s">
        <v>3059</v>
      </c>
      <c r="G17" s="2" t="s">
        <v>4104</v>
      </c>
      <c r="I17" s="2" t="s">
        <v>3058</v>
      </c>
    </row>
    <row r="18" spans="1:9" x14ac:dyDescent="0.3">
      <c r="A18" s="3"/>
      <c r="C18" s="11"/>
      <c r="E18" s="11"/>
      <c r="G18" s="2" t="s">
        <v>4105</v>
      </c>
      <c r="I18" s="11"/>
    </row>
    <row r="19" spans="1:9" x14ac:dyDescent="0.3">
      <c r="A19" s="2" t="s">
        <v>3</v>
      </c>
      <c r="C19" s="2" t="s">
        <v>3</v>
      </c>
      <c r="E19" s="2" t="s">
        <v>3</v>
      </c>
      <c r="G19" s="11"/>
      <c r="I19" s="2" t="s">
        <v>3</v>
      </c>
    </row>
    <row r="20" spans="1:9" x14ac:dyDescent="0.3">
      <c r="A20" s="2" t="s">
        <v>4</v>
      </c>
      <c r="C20" s="2" t="s">
        <v>13</v>
      </c>
      <c r="E20" s="2" t="s">
        <v>1362</v>
      </c>
      <c r="G20" s="2" t="s">
        <v>4124</v>
      </c>
      <c r="I20" s="2" t="s">
        <v>3106</v>
      </c>
    </row>
    <row r="21" spans="1:9" x14ac:dyDescent="0.3">
      <c r="A21" s="2" t="s">
        <v>2940</v>
      </c>
      <c r="C21" s="2" t="s">
        <v>1361</v>
      </c>
      <c r="E21" s="2" t="s">
        <v>2940</v>
      </c>
      <c r="G21" s="2" t="s">
        <v>4125</v>
      </c>
      <c r="I21" s="2" t="s">
        <v>2940</v>
      </c>
    </row>
    <row r="22" spans="1:9" x14ac:dyDescent="0.3">
      <c r="A22" s="2" t="s">
        <v>6</v>
      </c>
      <c r="C22" s="2" t="s">
        <v>6</v>
      </c>
      <c r="E22" s="2" t="s">
        <v>6</v>
      </c>
      <c r="G22" s="2" t="s">
        <v>4126</v>
      </c>
      <c r="I22" s="2" t="s">
        <v>6</v>
      </c>
    </row>
    <row r="23" spans="1:9" x14ac:dyDescent="0.3">
      <c r="A23" s="3"/>
      <c r="C23" s="11"/>
      <c r="E23" s="11"/>
      <c r="G23" s="2" t="s">
        <v>4127</v>
      </c>
      <c r="I23" s="11"/>
    </row>
    <row r="24" spans="1:9" x14ac:dyDescent="0.3">
      <c r="A24" s="2" t="s">
        <v>7</v>
      </c>
      <c r="C24" s="2" t="s">
        <v>7</v>
      </c>
      <c r="E24" s="2" t="s">
        <v>7</v>
      </c>
      <c r="G24" s="2" t="s">
        <v>4128</v>
      </c>
      <c r="I24" s="2" t="s">
        <v>7</v>
      </c>
    </row>
    <row r="25" spans="1:9" x14ac:dyDescent="0.3">
      <c r="A25" s="3"/>
      <c r="C25" s="11"/>
      <c r="E25" s="11"/>
      <c r="G25" s="2" t="s">
        <v>4129</v>
      </c>
      <c r="I25" s="11"/>
    </row>
    <row r="26" spans="1:9" x14ac:dyDescent="0.3">
      <c r="A26" s="2" t="s">
        <v>9</v>
      </c>
      <c r="C26" s="2" t="s">
        <v>9</v>
      </c>
      <c r="E26" s="2" t="s">
        <v>9</v>
      </c>
      <c r="G26" s="11"/>
      <c r="I26" s="2" t="s">
        <v>9</v>
      </c>
    </row>
    <row r="27" spans="1:9" x14ac:dyDescent="0.3">
      <c r="A27" s="2" t="s">
        <v>10</v>
      </c>
      <c r="C27" s="2" t="s">
        <v>10</v>
      </c>
      <c r="E27" s="2" t="s">
        <v>3058</v>
      </c>
      <c r="G27" s="2" t="s">
        <v>4130</v>
      </c>
      <c r="I27" s="2" t="s">
        <v>10</v>
      </c>
    </row>
    <row r="28" spans="1:9" x14ac:dyDescent="0.3">
      <c r="A28" s="3"/>
      <c r="C28" s="11"/>
      <c r="E28" s="11"/>
      <c r="G28" s="2" t="s">
        <v>4200</v>
      </c>
      <c r="I28" s="11"/>
    </row>
    <row r="29" spans="1:9" x14ac:dyDescent="0.3">
      <c r="A29" s="2" t="s">
        <v>3</v>
      </c>
      <c r="C29" s="2" t="s">
        <v>3</v>
      </c>
      <c r="E29" s="2" t="s">
        <v>3</v>
      </c>
      <c r="G29" s="2" t="s">
        <v>4126</v>
      </c>
      <c r="I29" s="2" t="s">
        <v>3</v>
      </c>
    </row>
    <row r="30" spans="1:9" x14ac:dyDescent="0.3">
      <c r="A30" s="2" t="s">
        <v>1362</v>
      </c>
      <c r="C30" s="2" t="s">
        <v>1362</v>
      </c>
      <c r="E30" s="2" t="s">
        <v>13</v>
      </c>
      <c r="G30" s="2" t="s">
        <v>4131</v>
      </c>
      <c r="I30" s="2" t="s">
        <v>1362</v>
      </c>
    </row>
    <row r="31" spans="1:9" x14ac:dyDescent="0.3">
      <c r="A31" s="2" t="s">
        <v>1363</v>
      </c>
      <c r="C31" s="2" t="s">
        <v>1363</v>
      </c>
      <c r="E31" s="2" t="s">
        <v>1363</v>
      </c>
      <c r="G31" s="2" t="s">
        <v>4132</v>
      </c>
      <c r="I31" s="2" t="s">
        <v>1363</v>
      </c>
    </row>
    <row r="32" spans="1:9" x14ac:dyDescent="0.3">
      <c r="A32" s="2" t="s">
        <v>6</v>
      </c>
      <c r="C32" s="2" t="s">
        <v>6</v>
      </c>
      <c r="E32" s="2" t="s">
        <v>6</v>
      </c>
      <c r="G32" s="2" t="s">
        <v>4133</v>
      </c>
      <c r="I32" s="2" t="s">
        <v>6</v>
      </c>
    </row>
    <row r="33" spans="1:9" x14ac:dyDescent="0.3">
      <c r="A33" s="3"/>
      <c r="C33" s="11"/>
      <c r="E33" s="11"/>
      <c r="G33" s="2" t="s">
        <v>0</v>
      </c>
      <c r="I33" s="11"/>
    </row>
    <row r="34" spans="1:9" x14ac:dyDescent="0.3">
      <c r="A34" s="2" t="s">
        <v>7</v>
      </c>
      <c r="C34" s="2" t="s">
        <v>7</v>
      </c>
      <c r="E34" s="2" t="s">
        <v>7</v>
      </c>
      <c r="G34" s="11"/>
      <c r="I34" s="2" t="s">
        <v>7</v>
      </c>
    </row>
    <row r="35" spans="1:9" x14ac:dyDescent="0.3">
      <c r="A35" s="3"/>
      <c r="C35" s="11"/>
      <c r="E35" s="11"/>
      <c r="G35" s="23" t="s">
        <v>4197</v>
      </c>
      <c r="I35" s="11"/>
    </row>
    <row r="36" spans="1:9" x14ac:dyDescent="0.3">
      <c r="A36" s="2" t="s">
        <v>11</v>
      </c>
      <c r="C36" s="2" t="s">
        <v>11</v>
      </c>
      <c r="E36" s="2" t="s">
        <v>11</v>
      </c>
      <c r="G36" s="23" t="s">
        <v>4198</v>
      </c>
      <c r="I36" s="2" t="s">
        <v>11</v>
      </c>
    </row>
    <row r="37" spans="1:9" x14ac:dyDescent="0.3">
      <c r="A37" s="2" t="s">
        <v>2941</v>
      </c>
      <c r="C37" s="2" t="s">
        <v>1364</v>
      </c>
      <c r="E37" s="2" t="s">
        <v>12</v>
      </c>
      <c r="G37" s="11"/>
      <c r="I37" s="2" t="s">
        <v>1360</v>
      </c>
    </row>
    <row r="38" spans="1:9" x14ac:dyDescent="0.3">
      <c r="A38" s="3"/>
      <c r="C38" s="11"/>
      <c r="E38" s="11"/>
      <c r="G38" s="2" t="s">
        <v>0</v>
      </c>
      <c r="I38" s="11"/>
    </row>
    <row r="39" spans="1:9" x14ac:dyDescent="0.3">
      <c r="A39" s="2" t="s">
        <v>3</v>
      </c>
      <c r="C39" s="2" t="s">
        <v>3</v>
      </c>
      <c r="E39" s="2" t="s">
        <v>3</v>
      </c>
      <c r="G39" s="2" t="s">
        <v>4134</v>
      </c>
      <c r="I39" s="2" t="s">
        <v>3</v>
      </c>
    </row>
    <row r="40" spans="1:9" x14ac:dyDescent="0.3">
      <c r="A40" s="2" t="s">
        <v>4</v>
      </c>
      <c r="C40" s="2" t="s">
        <v>1365</v>
      </c>
      <c r="E40" s="2" t="s">
        <v>13</v>
      </c>
      <c r="G40" s="11"/>
      <c r="I40" s="2" t="s">
        <v>1362</v>
      </c>
    </row>
    <row r="41" spans="1:9" x14ac:dyDescent="0.3">
      <c r="A41" s="2" t="s">
        <v>1363</v>
      </c>
      <c r="C41" s="2" t="s">
        <v>1363</v>
      </c>
      <c r="E41" s="2" t="s">
        <v>1363</v>
      </c>
      <c r="G41" s="11"/>
      <c r="I41" s="2" t="s">
        <v>3339</v>
      </c>
    </row>
    <row r="42" spans="1:9" x14ac:dyDescent="0.3">
      <c r="A42" s="2" t="s">
        <v>6</v>
      </c>
      <c r="C42" s="2" t="s">
        <v>6</v>
      </c>
      <c r="E42" s="2" t="s">
        <v>3060</v>
      </c>
      <c r="G42" s="2" t="s">
        <v>1</v>
      </c>
      <c r="I42" s="2" t="s">
        <v>6</v>
      </c>
    </row>
    <row r="43" spans="1:9" x14ac:dyDescent="0.3">
      <c r="A43" s="3"/>
      <c r="C43" s="11"/>
      <c r="E43" s="11"/>
      <c r="G43" s="11"/>
      <c r="I43" s="11"/>
    </row>
    <row r="44" spans="1:9" x14ac:dyDescent="0.3">
      <c r="A44" s="2" t="s">
        <v>7</v>
      </c>
      <c r="C44" s="2" t="s">
        <v>7</v>
      </c>
      <c r="E44" s="2" t="s">
        <v>7</v>
      </c>
      <c r="G44" s="11"/>
      <c r="I44" s="2" t="s">
        <v>7</v>
      </c>
    </row>
    <row r="45" spans="1:9" x14ac:dyDescent="0.3">
      <c r="A45" s="2" t="s">
        <v>14</v>
      </c>
      <c r="C45" s="2" t="s">
        <v>14</v>
      </c>
      <c r="E45" s="2" t="s">
        <v>14</v>
      </c>
      <c r="G45" s="2" t="s">
        <v>4135</v>
      </c>
      <c r="I45" s="2" t="s">
        <v>14</v>
      </c>
    </row>
    <row r="46" spans="1:9" x14ac:dyDescent="0.3">
      <c r="A46" s="2" t="s">
        <v>2942</v>
      </c>
      <c r="C46" s="2" t="s">
        <v>1366</v>
      </c>
      <c r="E46" s="2" t="s">
        <v>3915</v>
      </c>
      <c r="G46" s="2" t="s">
        <v>1364</v>
      </c>
      <c r="I46" s="2" t="s">
        <v>3340</v>
      </c>
    </row>
    <row r="47" spans="1:9" x14ac:dyDescent="0.3">
      <c r="A47" s="3"/>
      <c r="C47" s="11"/>
      <c r="E47" s="11"/>
      <c r="G47" s="11"/>
      <c r="I47" s="11"/>
    </row>
    <row r="48" spans="1:9" x14ac:dyDescent="0.3">
      <c r="A48" s="2" t="s">
        <v>15</v>
      </c>
      <c r="C48" s="2" t="s">
        <v>15</v>
      </c>
      <c r="E48" s="2" t="s">
        <v>15</v>
      </c>
      <c r="G48" s="2" t="s">
        <v>3</v>
      </c>
      <c r="I48" s="2" t="s">
        <v>15</v>
      </c>
    </row>
    <row r="49" spans="1:9" x14ac:dyDescent="0.3">
      <c r="A49" s="2" t="s">
        <v>2943</v>
      </c>
      <c r="C49" s="2" t="s">
        <v>1367</v>
      </c>
      <c r="E49" s="2" t="s">
        <v>3916</v>
      </c>
      <c r="G49" s="2" t="s">
        <v>13</v>
      </c>
      <c r="I49" s="2" t="s">
        <v>1367</v>
      </c>
    </row>
    <row r="50" spans="1:9" x14ac:dyDescent="0.3">
      <c r="A50" s="2" t="s">
        <v>2944</v>
      </c>
      <c r="C50" s="2" t="s">
        <v>1368</v>
      </c>
      <c r="E50" s="2" t="s">
        <v>1368</v>
      </c>
      <c r="G50" s="2" t="s">
        <v>4098</v>
      </c>
      <c r="I50" s="2" t="s">
        <v>3341</v>
      </c>
    </row>
    <row r="51" spans="1:9" x14ac:dyDescent="0.3">
      <c r="A51" s="2" t="s">
        <v>16</v>
      </c>
      <c r="C51" s="2" t="s">
        <v>16</v>
      </c>
      <c r="E51" s="2" t="s">
        <v>3061</v>
      </c>
      <c r="G51" s="2" t="s">
        <v>6</v>
      </c>
      <c r="I51" s="2" t="s">
        <v>16</v>
      </c>
    </row>
    <row r="52" spans="1:9" x14ac:dyDescent="0.3">
      <c r="A52" s="2"/>
      <c r="C52" s="2"/>
      <c r="E52" s="2" t="s">
        <v>0</v>
      </c>
      <c r="G52" s="11"/>
      <c r="I52" s="2" t="s">
        <v>0</v>
      </c>
    </row>
    <row r="53" spans="1:9" x14ac:dyDescent="0.3">
      <c r="A53" s="2"/>
      <c r="C53" s="2"/>
      <c r="E53" s="11"/>
      <c r="G53" s="2" t="s">
        <v>4136</v>
      </c>
      <c r="I53" s="11"/>
    </row>
    <row r="54" spans="1:9" x14ac:dyDescent="0.3">
      <c r="A54" s="2" t="s">
        <v>0</v>
      </c>
      <c r="C54" s="2" t="s">
        <v>0</v>
      </c>
      <c r="E54" s="2" t="s">
        <v>0</v>
      </c>
      <c r="G54" s="11"/>
      <c r="I54" s="11"/>
    </row>
    <row r="55" spans="1:9" x14ac:dyDescent="0.3">
      <c r="A55" s="2" t="s">
        <v>2945</v>
      </c>
      <c r="E55" s="2" t="s">
        <v>2945</v>
      </c>
      <c r="G55" s="2" t="s">
        <v>4137</v>
      </c>
      <c r="I55" s="2" t="s">
        <v>0</v>
      </c>
    </row>
    <row r="56" spans="1:9" x14ac:dyDescent="0.3">
      <c r="A56" s="3"/>
      <c r="E56" s="11"/>
      <c r="G56" s="2" t="s">
        <v>10</v>
      </c>
      <c r="I56" s="2" t="s">
        <v>2945</v>
      </c>
    </row>
    <row r="57" spans="1:9" x14ac:dyDescent="0.3">
      <c r="A57" s="3"/>
      <c r="E57" s="11"/>
      <c r="G57" s="11"/>
      <c r="I57" s="11"/>
    </row>
    <row r="58" spans="1:9" x14ac:dyDescent="0.3">
      <c r="A58" s="2" t="s">
        <v>2</v>
      </c>
      <c r="E58" s="2" t="s">
        <v>2</v>
      </c>
      <c r="G58" s="2" t="s">
        <v>3</v>
      </c>
      <c r="I58" s="11"/>
    </row>
    <row r="59" spans="1:9" x14ac:dyDescent="0.3">
      <c r="A59" s="2" t="s">
        <v>2946</v>
      </c>
      <c r="E59" s="2" t="s">
        <v>3917</v>
      </c>
      <c r="G59" s="2" t="s">
        <v>4</v>
      </c>
      <c r="I59" s="2" t="s">
        <v>2</v>
      </c>
    </row>
    <row r="60" spans="1:9" x14ac:dyDescent="0.3">
      <c r="A60" s="3"/>
      <c r="E60" s="11"/>
      <c r="G60" s="2" t="s">
        <v>3339</v>
      </c>
      <c r="I60" s="2" t="s">
        <v>3342</v>
      </c>
    </row>
    <row r="61" spans="1:9" x14ac:dyDescent="0.3">
      <c r="A61" s="2" t="s">
        <v>2947</v>
      </c>
      <c r="E61" s="2" t="s">
        <v>2947</v>
      </c>
      <c r="G61" s="2" t="s">
        <v>6</v>
      </c>
      <c r="I61" s="11"/>
    </row>
    <row r="62" spans="1:9" x14ac:dyDescent="0.3">
      <c r="A62" s="2" t="s">
        <v>2954</v>
      </c>
      <c r="E62" s="2" t="s">
        <v>3918</v>
      </c>
      <c r="G62" s="11"/>
      <c r="I62" s="2" t="s">
        <v>2947</v>
      </c>
    </row>
    <row r="63" spans="1:9" x14ac:dyDescent="0.3">
      <c r="A63" s="2" t="s">
        <v>2955</v>
      </c>
      <c r="E63" s="2" t="s">
        <v>3919</v>
      </c>
      <c r="G63" s="2" t="s">
        <v>4136</v>
      </c>
      <c r="I63" s="2" t="s">
        <v>3343</v>
      </c>
    </row>
    <row r="64" spans="1:9" x14ac:dyDescent="0.3">
      <c r="A64" s="2" t="s">
        <v>2956</v>
      </c>
      <c r="E64" s="2" t="s">
        <v>3920</v>
      </c>
      <c r="G64" s="11"/>
      <c r="I64" s="2" t="s">
        <v>3344</v>
      </c>
    </row>
    <row r="65" spans="1:9" x14ac:dyDescent="0.3">
      <c r="A65" s="3"/>
      <c r="E65" s="11"/>
      <c r="G65" s="2" t="s">
        <v>4138</v>
      </c>
      <c r="I65" s="2" t="s">
        <v>3345</v>
      </c>
    </row>
    <row r="66" spans="1:9" x14ac:dyDescent="0.3">
      <c r="A66" s="2" t="s">
        <v>7</v>
      </c>
      <c r="E66" s="2" t="s">
        <v>7</v>
      </c>
      <c r="G66" s="2" t="s">
        <v>10</v>
      </c>
      <c r="I66" s="11"/>
    </row>
    <row r="67" spans="1:9" x14ac:dyDescent="0.3">
      <c r="A67" s="3"/>
      <c r="E67" s="11"/>
      <c r="G67" s="11"/>
      <c r="I67" s="2" t="s">
        <v>7</v>
      </c>
    </row>
    <row r="68" spans="1:9" x14ac:dyDescent="0.3">
      <c r="A68" s="2" t="s">
        <v>8</v>
      </c>
      <c r="E68" s="2" t="s">
        <v>8</v>
      </c>
      <c r="G68" s="2" t="s">
        <v>3</v>
      </c>
      <c r="I68" s="11"/>
    </row>
    <row r="69" spans="1:9" x14ac:dyDescent="0.3">
      <c r="A69" s="2" t="s">
        <v>2946</v>
      </c>
      <c r="E69" s="2" t="s">
        <v>3917</v>
      </c>
      <c r="G69" s="2" t="s">
        <v>1362</v>
      </c>
      <c r="I69" s="2" t="s">
        <v>8</v>
      </c>
    </row>
    <row r="70" spans="1:9" x14ac:dyDescent="0.3">
      <c r="A70" s="3"/>
      <c r="E70" s="11"/>
      <c r="G70" s="2" t="s">
        <v>1363</v>
      </c>
      <c r="I70" s="2" t="s">
        <v>3342</v>
      </c>
    </row>
    <row r="71" spans="1:9" x14ac:dyDescent="0.3">
      <c r="A71" s="2" t="s">
        <v>2947</v>
      </c>
      <c r="E71" s="2" t="s">
        <v>2947</v>
      </c>
      <c r="G71" s="2" t="s">
        <v>6</v>
      </c>
      <c r="I71" s="11"/>
    </row>
    <row r="72" spans="1:9" x14ac:dyDescent="0.3">
      <c r="A72" s="2" t="s">
        <v>2954</v>
      </c>
      <c r="E72" s="2" t="s">
        <v>3918</v>
      </c>
      <c r="G72" s="11"/>
      <c r="I72" s="2" t="s">
        <v>2947</v>
      </c>
    </row>
    <row r="73" spans="1:9" x14ac:dyDescent="0.3">
      <c r="A73" s="2" t="s">
        <v>2955</v>
      </c>
      <c r="E73" s="2" t="s">
        <v>3919</v>
      </c>
      <c r="G73" s="2" t="s">
        <v>4136</v>
      </c>
      <c r="I73" s="2" t="s">
        <v>3343</v>
      </c>
    </row>
    <row r="74" spans="1:9" x14ac:dyDescent="0.3">
      <c r="A74" s="2" t="s">
        <v>2956</v>
      </c>
      <c r="E74" s="2" t="s">
        <v>3920</v>
      </c>
      <c r="G74" s="11"/>
      <c r="I74" s="2" t="s">
        <v>3344</v>
      </c>
    </row>
    <row r="75" spans="1:9" x14ac:dyDescent="0.3">
      <c r="A75" s="3"/>
      <c r="E75" s="11"/>
      <c r="G75" s="2" t="s">
        <v>4139</v>
      </c>
      <c r="I75" s="2" t="s">
        <v>3345</v>
      </c>
    </row>
    <row r="76" spans="1:9" x14ac:dyDescent="0.3">
      <c r="A76" s="2" t="s">
        <v>7</v>
      </c>
      <c r="E76" s="2" t="s">
        <v>7</v>
      </c>
      <c r="G76" s="2" t="s">
        <v>2941</v>
      </c>
      <c r="I76" s="11"/>
    </row>
    <row r="77" spans="1:9" x14ac:dyDescent="0.3">
      <c r="A77" s="3"/>
      <c r="E77" s="11"/>
      <c r="G77" s="11"/>
      <c r="I77" s="2" t="s">
        <v>7</v>
      </c>
    </row>
    <row r="78" spans="1:9" x14ac:dyDescent="0.3">
      <c r="A78" s="2" t="s">
        <v>9</v>
      </c>
      <c r="E78" s="2" t="s">
        <v>9</v>
      </c>
      <c r="G78" s="2" t="s">
        <v>3</v>
      </c>
      <c r="I78" s="11"/>
    </row>
    <row r="79" spans="1:9" x14ac:dyDescent="0.3">
      <c r="A79" s="2" t="s">
        <v>2946</v>
      </c>
      <c r="E79" s="2" t="s">
        <v>3917</v>
      </c>
      <c r="G79" s="2" t="s">
        <v>1362</v>
      </c>
      <c r="I79" s="2" t="s">
        <v>9</v>
      </c>
    </row>
    <row r="80" spans="1:9" x14ac:dyDescent="0.3">
      <c r="A80" s="3"/>
      <c r="E80" s="11"/>
      <c r="G80" s="2" t="s">
        <v>5</v>
      </c>
      <c r="I80" s="2" t="s">
        <v>3342</v>
      </c>
    </row>
    <row r="81" spans="1:9" x14ac:dyDescent="0.3">
      <c r="A81" s="2" t="s">
        <v>2947</v>
      </c>
      <c r="E81" s="2" t="s">
        <v>2947</v>
      </c>
      <c r="G81" s="2" t="s">
        <v>6</v>
      </c>
      <c r="I81" s="11"/>
    </row>
    <row r="82" spans="1:9" x14ac:dyDescent="0.3">
      <c r="A82" s="2" t="s">
        <v>2954</v>
      </c>
      <c r="E82" s="2" t="s">
        <v>3918</v>
      </c>
      <c r="G82" s="11"/>
      <c r="I82" s="2" t="s">
        <v>2947</v>
      </c>
    </row>
    <row r="83" spans="1:9" x14ac:dyDescent="0.3">
      <c r="A83" s="2" t="s">
        <v>2955</v>
      </c>
      <c r="E83" s="2" t="s">
        <v>3919</v>
      </c>
      <c r="G83" s="2" t="s">
        <v>4136</v>
      </c>
      <c r="I83" s="2" t="s">
        <v>3343</v>
      </c>
    </row>
    <row r="84" spans="1:9" x14ac:dyDescent="0.3">
      <c r="A84" s="2" t="s">
        <v>2956</v>
      </c>
      <c r="E84" s="2" t="s">
        <v>3920</v>
      </c>
      <c r="G84" s="2" t="s">
        <v>14</v>
      </c>
      <c r="I84" s="2" t="s">
        <v>3344</v>
      </c>
    </row>
    <row r="85" spans="1:9" x14ac:dyDescent="0.3">
      <c r="A85" s="3"/>
      <c r="E85" s="11"/>
      <c r="G85" s="2" t="s">
        <v>4099</v>
      </c>
      <c r="I85" s="2" t="s">
        <v>3345</v>
      </c>
    </row>
    <row r="86" spans="1:9" x14ac:dyDescent="0.3">
      <c r="A86" s="2" t="s">
        <v>7</v>
      </c>
      <c r="E86" s="2" t="s">
        <v>7</v>
      </c>
      <c r="G86" s="11"/>
      <c r="I86" s="11"/>
    </row>
    <row r="87" spans="1:9" x14ac:dyDescent="0.3">
      <c r="A87" s="3"/>
      <c r="E87" s="11"/>
      <c r="G87" s="2" t="s">
        <v>15</v>
      </c>
      <c r="I87" s="2" t="s">
        <v>7</v>
      </c>
    </row>
    <row r="88" spans="1:9" x14ac:dyDescent="0.3">
      <c r="A88" s="2" t="s">
        <v>11</v>
      </c>
      <c r="E88" s="2" t="s">
        <v>11</v>
      </c>
      <c r="G88" s="2" t="s">
        <v>4100</v>
      </c>
      <c r="I88" s="11"/>
    </row>
    <row r="89" spans="1:9" x14ac:dyDescent="0.3">
      <c r="A89" s="2" t="s">
        <v>2946</v>
      </c>
      <c r="E89" s="2" t="s">
        <v>3917</v>
      </c>
      <c r="G89" s="2" t="s">
        <v>4101</v>
      </c>
      <c r="I89" s="2" t="s">
        <v>11</v>
      </c>
    </row>
    <row r="90" spans="1:9" x14ac:dyDescent="0.3">
      <c r="A90" s="3"/>
      <c r="E90" s="11"/>
      <c r="G90" s="2" t="s">
        <v>16</v>
      </c>
      <c r="I90" s="2" t="s">
        <v>3346</v>
      </c>
    </row>
    <row r="91" spans="1:9" x14ac:dyDescent="0.3">
      <c r="A91" s="2" t="s">
        <v>2947</v>
      </c>
      <c r="E91" s="2" t="s">
        <v>2947</v>
      </c>
      <c r="G91" s="2" t="s">
        <v>0</v>
      </c>
      <c r="I91" s="11"/>
    </row>
    <row r="92" spans="1:9" x14ac:dyDescent="0.3">
      <c r="A92" s="2" t="s">
        <v>2954</v>
      </c>
      <c r="E92" s="2" t="s">
        <v>3918</v>
      </c>
      <c r="G92" s="11"/>
      <c r="I92" s="2" t="s">
        <v>2947</v>
      </c>
    </row>
    <row r="93" spans="1:9" x14ac:dyDescent="0.3">
      <c r="A93" s="2" t="s">
        <v>2955</v>
      </c>
      <c r="E93" s="2" t="s">
        <v>3919</v>
      </c>
      <c r="G93" s="23" t="s">
        <v>4197</v>
      </c>
      <c r="I93" s="2" t="s">
        <v>3347</v>
      </c>
    </row>
    <row r="94" spans="1:9" x14ac:dyDescent="0.3">
      <c r="A94" s="2" t="s">
        <v>2956</v>
      </c>
      <c r="E94" s="2" t="s">
        <v>3920</v>
      </c>
      <c r="G94" s="23" t="s">
        <v>4198</v>
      </c>
      <c r="I94" s="2" t="s">
        <v>3348</v>
      </c>
    </row>
    <row r="95" spans="1:9" x14ac:dyDescent="0.3">
      <c r="A95" s="3"/>
      <c r="E95" s="11"/>
      <c r="G95" s="11"/>
      <c r="I95" s="2" t="s">
        <v>3349</v>
      </c>
    </row>
    <row r="96" spans="1:9" x14ac:dyDescent="0.3">
      <c r="A96" s="2" t="s">
        <v>7</v>
      </c>
      <c r="E96" s="2" t="s">
        <v>7</v>
      </c>
      <c r="G96" s="2" t="s">
        <v>0</v>
      </c>
      <c r="I96" s="11"/>
    </row>
    <row r="97" spans="1:9" x14ac:dyDescent="0.3">
      <c r="A97" s="2" t="s">
        <v>2948</v>
      </c>
      <c r="E97" s="2" t="s">
        <v>2948</v>
      </c>
      <c r="G97" s="2" t="s">
        <v>2945</v>
      </c>
      <c r="I97" s="2" t="s">
        <v>7</v>
      </c>
    </row>
    <row r="98" spans="1:9" x14ac:dyDescent="0.3">
      <c r="A98" s="2" t="s">
        <v>2949</v>
      </c>
      <c r="E98" s="2" t="s">
        <v>3921</v>
      </c>
      <c r="G98" s="11"/>
      <c r="I98" s="2" t="s">
        <v>2948</v>
      </c>
    </row>
    <row r="99" spans="1:9" x14ac:dyDescent="0.3">
      <c r="A99" s="3"/>
      <c r="E99" s="11"/>
      <c r="G99" s="11"/>
      <c r="I99" s="2" t="s">
        <v>3350</v>
      </c>
    </row>
    <row r="100" spans="1:9" x14ac:dyDescent="0.3">
      <c r="A100" s="2" t="s">
        <v>2950</v>
      </c>
      <c r="E100" s="2" t="s">
        <v>2950</v>
      </c>
      <c r="G100" s="2" t="s">
        <v>4135</v>
      </c>
      <c r="I100" s="11"/>
    </row>
    <row r="101" spans="1:9" x14ac:dyDescent="0.3">
      <c r="A101" s="2" t="s">
        <v>2951</v>
      </c>
      <c r="E101" s="2" t="s">
        <v>3922</v>
      </c>
      <c r="G101" s="2" t="s">
        <v>4102</v>
      </c>
      <c r="I101" s="2" t="s">
        <v>2950</v>
      </c>
    </row>
    <row r="102" spans="1:9" x14ac:dyDescent="0.3">
      <c r="A102" s="2" t="s">
        <v>2952</v>
      </c>
      <c r="E102" s="2" t="s">
        <v>3923</v>
      </c>
      <c r="G102" s="11"/>
      <c r="I102" s="2" t="s">
        <v>3351</v>
      </c>
    </row>
    <row r="103" spans="1:9" x14ac:dyDescent="0.3">
      <c r="A103" s="2" t="s">
        <v>2953</v>
      </c>
      <c r="E103" s="2" t="s">
        <v>3924</v>
      </c>
      <c r="G103" s="2" t="s">
        <v>2947</v>
      </c>
      <c r="I103" s="2" t="s">
        <v>3352</v>
      </c>
    </row>
    <row r="104" spans="1:9" x14ac:dyDescent="0.3">
      <c r="A104" s="2" t="s">
        <v>0</v>
      </c>
      <c r="E104" s="2" t="s">
        <v>0</v>
      </c>
      <c r="G104" s="2" t="s">
        <v>4103</v>
      </c>
      <c r="I104" s="2" t="s">
        <v>3353</v>
      </c>
    </row>
    <row r="105" spans="1:9" x14ac:dyDescent="0.3">
      <c r="E105" s="2"/>
      <c r="G105" s="2" t="s">
        <v>4104</v>
      </c>
      <c r="I105" s="2" t="s">
        <v>0</v>
      </c>
    </row>
    <row r="106" spans="1:9" x14ac:dyDescent="0.3">
      <c r="G106" s="2" t="s">
        <v>4105</v>
      </c>
    </row>
    <row r="107" spans="1:9" x14ac:dyDescent="0.3">
      <c r="G107" s="11"/>
    </row>
    <row r="108" spans="1:9" x14ac:dyDescent="0.3">
      <c r="G108" s="2" t="s">
        <v>4136</v>
      </c>
    </row>
    <row r="109" spans="1:9" x14ac:dyDescent="0.3">
      <c r="G109" s="11"/>
    </row>
    <row r="110" spans="1:9" x14ac:dyDescent="0.3">
      <c r="G110" s="2" t="s">
        <v>4137</v>
      </c>
    </row>
    <row r="111" spans="1:9" x14ac:dyDescent="0.3">
      <c r="G111" s="2" t="s">
        <v>4102</v>
      </c>
    </row>
    <row r="112" spans="1:9" x14ac:dyDescent="0.3">
      <c r="G112" s="11"/>
    </row>
    <row r="113" spans="7:7" x14ac:dyDescent="0.3">
      <c r="G113" s="2" t="s">
        <v>2947</v>
      </c>
    </row>
    <row r="114" spans="7:7" x14ac:dyDescent="0.3">
      <c r="G114" s="2" t="s">
        <v>4103</v>
      </c>
    </row>
    <row r="115" spans="7:7" x14ac:dyDescent="0.3">
      <c r="G115" s="2" t="s">
        <v>4104</v>
      </c>
    </row>
    <row r="116" spans="7:7" x14ac:dyDescent="0.3">
      <c r="G116" s="2" t="s">
        <v>4105</v>
      </c>
    </row>
    <row r="117" spans="7:7" x14ac:dyDescent="0.3">
      <c r="G117" s="11"/>
    </row>
    <row r="118" spans="7:7" x14ac:dyDescent="0.3">
      <c r="G118" s="2" t="s">
        <v>4136</v>
      </c>
    </row>
    <row r="119" spans="7:7" x14ac:dyDescent="0.3">
      <c r="G119" s="11"/>
    </row>
    <row r="120" spans="7:7" x14ac:dyDescent="0.3">
      <c r="G120" s="2" t="s">
        <v>4138</v>
      </c>
    </row>
    <row r="121" spans="7:7" x14ac:dyDescent="0.3">
      <c r="G121" s="2" t="s">
        <v>4102</v>
      </c>
    </row>
    <row r="122" spans="7:7" x14ac:dyDescent="0.3">
      <c r="G122" s="11"/>
    </row>
    <row r="123" spans="7:7" x14ac:dyDescent="0.3">
      <c r="G123" s="2" t="s">
        <v>2947</v>
      </c>
    </row>
    <row r="124" spans="7:7" x14ac:dyDescent="0.3">
      <c r="G124" s="2" t="s">
        <v>4103</v>
      </c>
    </row>
    <row r="125" spans="7:7" x14ac:dyDescent="0.3">
      <c r="G125" s="2" t="s">
        <v>4104</v>
      </c>
    </row>
    <row r="126" spans="7:7" x14ac:dyDescent="0.3">
      <c r="G126" s="2" t="s">
        <v>4105</v>
      </c>
    </row>
    <row r="127" spans="7:7" x14ac:dyDescent="0.3">
      <c r="G127" s="11"/>
    </row>
    <row r="128" spans="7:7" x14ac:dyDescent="0.3">
      <c r="G128" s="2" t="s">
        <v>4136</v>
      </c>
    </row>
    <row r="129" spans="7:7" x14ac:dyDescent="0.3">
      <c r="G129" s="11"/>
    </row>
    <row r="130" spans="7:7" x14ac:dyDescent="0.3">
      <c r="G130" s="2" t="s">
        <v>4139</v>
      </c>
    </row>
    <row r="131" spans="7:7" x14ac:dyDescent="0.3">
      <c r="G131" s="2" t="s">
        <v>4102</v>
      </c>
    </row>
    <row r="132" spans="7:7" x14ac:dyDescent="0.3">
      <c r="G132" s="11"/>
    </row>
    <row r="133" spans="7:7" x14ac:dyDescent="0.3">
      <c r="G133" s="2" t="s">
        <v>2947</v>
      </c>
    </row>
    <row r="134" spans="7:7" x14ac:dyDescent="0.3">
      <c r="G134" s="2" t="s">
        <v>4103</v>
      </c>
    </row>
    <row r="135" spans="7:7" x14ac:dyDescent="0.3">
      <c r="G135" s="2" t="s">
        <v>4104</v>
      </c>
    </row>
    <row r="136" spans="7:7" x14ac:dyDescent="0.3">
      <c r="G136" s="2" t="s">
        <v>4105</v>
      </c>
    </row>
    <row r="137" spans="7:7" x14ac:dyDescent="0.3">
      <c r="G137" s="11"/>
    </row>
    <row r="138" spans="7:7" x14ac:dyDescent="0.3">
      <c r="G138" s="2" t="s">
        <v>4136</v>
      </c>
    </row>
    <row r="139" spans="7:7" x14ac:dyDescent="0.3">
      <c r="G139" s="2" t="s">
        <v>2948</v>
      </c>
    </row>
    <row r="140" spans="7:7" x14ac:dyDescent="0.3">
      <c r="G140" s="2" t="s">
        <v>4106</v>
      </c>
    </row>
    <row r="141" spans="7:7" x14ac:dyDescent="0.3">
      <c r="G141" s="11"/>
    </row>
    <row r="142" spans="7:7" x14ac:dyDescent="0.3">
      <c r="G142" s="2" t="s">
        <v>2950</v>
      </c>
    </row>
    <row r="143" spans="7:7" x14ac:dyDescent="0.3">
      <c r="G143" s="2" t="s">
        <v>4107</v>
      </c>
    </row>
    <row r="144" spans="7:7" x14ac:dyDescent="0.3">
      <c r="G144" s="2" t="s">
        <v>4108</v>
      </c>
    </row>
    <row r="145" spans="7:7" x14ac:dyDescent="0.3">
      <c r="G145" s="2" t="s">
        <v>4109</v>
      </c>
    </row>
    <row r="146" spans="7:7" x14ac:dyDescent="0.3">
      <c r="G146" s="2" t="s">
        <v>0</v>
      </c>
    </row>
    <row r="147" spans="7:7" x14ac:dyDescent="0.3">
      <c r="G147" s="11"/>
    </row>
    <row r="148" spans="7:7" x14ac:dyDescent="0.3">
      <c r="G148" s="23" t="s">
        <v>4197</v>
      </c>
    </row>
    <row r="149" spans="7:7" x14ac:dyDescent="0.3">
      <c r="G149" s="23" t="s">
        <v>4198</v>
      </c>
    </row>
    <row r="150" spans="7:7" x14ac:dyDescent="0.3">
      <c r="G150" s="11"/>
    </row>
    <row r="151" spans="7:7" x14ac:dyDescent="0.3">
      <c r="G151" s="2" t="s">
        <v>0</v>
      </c>
    </row>
    <row r="152" spans="7:7" x14ac:dyDescent="0.3">
      <c r="G152" s="2" t="s">
        <v>4140</v>
      </c>
    </row>
    <row r="153" spans="7:7" x14ac:dyDescent="0.3">
      <c r="G153" s="11"/>
    </row>
    <row r="154" spans="7:7" x14ac:dyDescent="0.3">
      <c r="G154" s="11"/>
    </row>
    <row r="155" spans="7:7" x14ac:dyDescent="0.3">
      <c r="G155" s="2" t="s">
        <v>4135</v>
      </c>
    </row>
    <row r="156" spans="7:7" x14ac:dyDescent="0.3">
      <c r="G156" s="2" t="s">
        <v>4141</v>
      </c>
    </row>
    <row r="157" spans="7:7" x14ac:dyDescent="0.3">
      <c r="G157" s="11"/>
    </row>
    <row r="158" spans="7:7" x14ac:dyDescent="0.3">
      <c r="G158" s="2" t="s">
        <v>4142</v>
      </c>
    </row>
    <row r="159" spans="7:7" x14ac:dyDescent="0.3">
      <c r="G159" s="2" t="s">
        <v>4143</v>
      </c>
    </row>
    <row r="160" spans="7:7" x14ac:dyDescent="0.3">
      <c r="G160" s="2" t="s">
        <v>4144</v>
      </c>
    </row>
    <row r="161" spans="7:7" x14ac:dyDescent="0.3">
      <c r="G161" s="2" t="s">
        <v>4145</v>
      </c>
    </row>
    <row r="162" spans="7:7" x14ac:dyDescent="0.3">
      <c r="G162" s="11"/>
    </row>
    <row r="163" spans="7:7" x14ac:dyDescent="0.3">
      <c r="G163" s="2" t="s">
        <v>4136</v>
      </c>
    </row>
    <row r="164" spans="7:7" x14ac:dyDescent="0.3">
      <c r="G164" s="11"/>
    </row>
    <row r="165" spans="7:7" x14ac:dyDescent="0.3">
      <c r="G165" s="2" t="s">
        <v>4137</v>
      </c>
    </row>
    <row r="166" spans="7:7" x14ac:dyDescent="0.3">
      <c r="G166" s="2" t="s">
        <v>4146</v>
      </c>
    </row>
    <row r="167" spans="7:7" x14ac:dyDescent="0.3">
      <c r="G167" s="11"/>
    </row>
    <row r="168" spans="7:7" x14ac:dyDescent="0.3">
      <c r="G168" s="2" t="s">
        <v>4142</v>
      </c>
    </row>
    <row r="169" spans="7:7" x14ac:dyDescent="0.3">
      <c r="G169" s="2" t="s">
        <v>4147</v>
      </c>
    </row>
    <row r="170" spans="7:7" x14ac:dyDescent="0.3">
      <c r="G170" s="2" t="s">
        <v>4148</v>
      </c>
    </row>
    <row r="171" spans="7:7" x14ac:dyDescent="0.3">
      <c r="G171" s="2" t="s">
        <v>4149</v>
      </c>
    </row>
    <row r="172" spans="7:7" x14ac:dyDescent="0.3">
      <c r="G172" s="11"/>
    </row>
    <row r="173" spans="7:7" x14ac:dyDescent="0.3">
      <c r="G173" s="2" t="s">
        <v>4136</v>
      </c>
    </row>
    <row r="174" spans="7:7" x14ac:dyDescent="0.3">
      <c r="G174" s="11"/>
    </row>
    <row r="175" spans="7:7" x14ac:dyDescent="0.3">
      <c r="G175" s="2" t="s">
        <v>4138</v>
      </c>
    </row>
    <row r="176" spans="7:7" x14ac:dyDescent="0.3">
      <c r="G176" s="2" t="s">
        <v>4150</v>
      </c>
    </row>
    <row r="177" spans="7:7" x14ac:dyDescent="0.3">
      <c r="G177" s="11"/>
    </row>
    <row r="178" spans="7:7" x14ac:dyDescent="0.3">
      <c r="G178" s="2" t="s">
        <v>4142</v>
      </c>
    </row>
    <row r="179" spans="7:7" x14ac:dyDescent="0.3">
      <c r="G179" s="2" t="s">
        <v>4151</v>
      </c>
    </row>
    <row r="180" spans="7:7" x14ac:dyDescent="0.3">
      <c r="G180" s="2" t="s">
        <v>4152</v>
      </c>
    </row>
    <row r="181" spans="7:7" x14ac:dyDescent="0.3">
      <c r="G181" s="2" t="s">
        <v>4145</v>
      </c>
    </row>
    <row r="182" spans="7:7" x14ac:dyDescent="0.3">
      <c r="G182" s="11"/>
    </row>
    <row r="183" spans="7:7" x14ac:dyDescent="0.3">
      <c r="G183" s="2" t="s">
        <v>4136</v>
      </c>
    </row>
    <row r="184" spans="7:7" x14ac:dyDescent="0.3">
      <c r="G184" s="11"/>
    </row>
    <row r="185" spans="7:7" x14ac:dyDescent="0.3">
      <c r="G185" s="2" t="s">
        <v>4139</v>
      </c>
    </row>
    <row r="186" spans="7:7" x14ac:dyDescent="0.3">
      <c r="G186" s="2" t="s">
        <v>4153</v>
      </c>
    </row>
    <row r="187" spans="7:7" x14ac:dyDescent="0.3">
      <c r="G187" s="11"/>
    </row>
    <row r="188" spans="7:7" x14ac:dyDescent="0.3">
      <c r="G188" s="2" t="s">
        <v>4142</v>
      </c>
    </row>
    <row r="189" spans="7:7" x14ac:dyDescent="0.3">
      <c r="G189" s="2" t="s">
        <v>4154</v>
      </c>
    </row>
    <row r="190" spans="7:7" x14ac:dyDescent="0.3">
      <c r="G190" s="2" t="s">
        <v>4155</v>
      </c>
    </row>
    <row r="191" spans="7:7" x14ac:dyDescent="0.3">
      <c r="G191" s="2" t="s">
        <v>4156</v>
      </c>
    </row>
    <row r="192" spans="7:7" x14ac:dyDescent="0.3">
      <c r="G192" s="11"/>
    </row>
    <row r="193" spans="7:7" x14ac:dyDescent="0.3">
      <c r="G193" s="2" t="s">
        <v>4136</v>
      </c>
    </row>
    <row r="194" spans="7:7" x14ac:dyDescent="0.3">
      <c r="G194" s="2" t="s">
        <v>4157</v>
      </c>
    </row>
    <row r="195" spans="7:7" x14ac:dyDescent="0.3">
      <c r="G195" s="11"/>
    </row>
    <row r="196" spans="7:7" x14ac:dyDescent="0.3">
      <c r="G196" s="2" t="s">
        <v>4158</v>
      </c>
    </row>
    <row r="197" spans="7:7" x14ac:dyDescent="0.3">
      <c r="G197" s="11"/>
    </row>
    <row r="198" spans="7:7" x14ac:dyDescent="0.3">
      <c r="G198" s="2" t="s">
        <v>4159</v>
      </c>
    </row>
    <row r="199" spans="7:7" x14ac:dyDescent="0.3">
      <c r="G199" s="2" t="s">
        <v>4160</v>
      </c>
    </row>
    <row r="200" spans="7:7" x14ac:dyDescent="0.3">
      <c r="G200" s="2" t="s">
        <v>4161</v>
      </c>
    </row>
    <row r="201" spans="7:7" x14ac:dyDescent="0.3">
      <c r="G201" s="2" t="s">
        <v>4162</v>
      </c>
    </row>
    <row r="202" spans="7:7" x14ac:dyDescent="0.3">
      <c r="G202" s="11"/>
    </row>
    <row r="203" spans="7:7" x14ac:dyDescent="0.3">
      <c r="G203" s="2" t="s">
        <v>4163</v>
      </c>
    </row>
    <row r="204" spans="7:7" x14ac:dyDescent="0.3">
      <c r="G204" s="2" t="s">
        <v>4164</v>
      </c>
    </row>
    <row r="205" spans="7:7" x14ac:dyDescent="0.3">
      <c r="G205" s="2" t="s">
        <v>4165</v>
      </c>
    </row>
    <row r="206" spans="7:7" x14ac:dyDescent="0.3">
      <c r="G206" s="2" t="s">
        <v>4166</v>
      </c>
    </row>
    <row r="207" spans="7:7" x14ac:dyDescent="0.3">
      <c r="G207" s="2" t="s">
        <v>4167</v>
      </c>
    </row>
    <row r="208" spans="7:7" x14ac:dyDescent="0.3">
      <c r="G208" s="2" t="s">
        <v>4168</v>
      </c>
    </row>
    <row r="209" spans="7:7" x14ac:dyDescent="0.3">
      <c r="G209" s="2" t="s">
        <v>4169</v>
      </c>
    </row>
    <row r="210" spans="7:7" x14ac:dyDescent="0.3">
      <c r="G210" s="2" t="s">
        <v>4170</v>
      </c>
    </row>
    <row r="211" spans="7:7" x14ac:dyDescent="0.3">
      <c r="G211" s="2" t="s">
        <v>4171</v>
      </c>
    </row>
    <row r="212" spans="7:7" x14ac:dyDescent="0.3">
      <c r="G212" s="2" t="s">
        <v>4172</v>
      </c>
    </row>
    <row r="213" spans="7:7" x14ac:dyDescent="0.3">
      <c r="G213" s="2" t="s">
        <v>4173</v>
      </c>
    </row>
    <row r="214" spans="7:7" x14ac:dyDescent="0.3">
      <c r="G214" s="2" t="s">
        <v>4174</v>
      </c>
    </row>
    <row r="215" spans="7:7" x14ac:dyDescent="0.3">
      <c r="G215" s="2" t="s">
        <v>4175</v>
      </c>
    </row>
    <row r="216" spans="7:7" x14ac:dyDescent="0.3">
      <c r="G216" s="2" t="s">
        <v>0</v>
      </c>
    </row>
    <row r="217" spans="7:7" x14ac:dyDescent="0.3">
      <c r="G217" s="11"/>
    </row>
    <row r="218" spans="7:7" x14ac:dyDescent="0.3">
      <c r="G218" s="23" t="s">
        <v>4197</v>
      </c>
    </row>
    <row r="219" spans="7:7" x14ac:dyDescent="0.3">
      <c r="G219" s="23" t="s">
        <v>4198</v>
      </c>
    </row>
    <row r="220" spans="7:7" x14ac:dyDescent="0.3">
      <c r="G220" s="11"/>
    </row>
    <row r="221" spans="7:7" x14ac:dyDescent="0.3">
      <c r="G221" s="2" t="s">
        <v>0</v>
      </c>
    </row>
    <row r="222" spans="7:7" x14ac:dyDescent="0.3">
      <c r="G222" s="2" t="s">
        <v>4176</v>
      </c>
    </row>
    <row r="223" spans="7:7" x14ac:dyDescent="0.3">
      <c r="G223" s="11"/>
    </row>
    <row r="224" spans="7:7" x14ac:dyDescent="0.3">
      <c r="G224" s="11"/>
    </row>
    <row r="225" spans="7:7" x14ac:dyDescent="0.3">
      <c r="G225" s="2" t="s">
        <v>4135</v>
      </c>
    </row>
    <row r="226" spans="7:7" x14ac:dyDescent="0.3">
      <c r="G226" s="2" t="s">
        <v>4177</v>
      </c>
    </row>
    <row r="227" spans="7:7" x14ac:dyDescent="0.3">
      <c r="G227" s="11"/>
    </row>
    <row r="228" spans="7:7" x14ac:dyDescent="0.3">
      <c r="G228" s="2" t="s">
        <v>4142</v>
      </c>
    </row>
    <row r="229" spans="7:7" x14ac:dyDescent="0.3">
      <c r="G229" s="2" t="s">
        <v>4178</v>
      </c>
    </row>
    <row r="230" spans="7:7" x14ac:dyDescent="0.3">
      <c r="G230" s="2" t="s">
        <v>4179</v>
      </c>
    </row>
    <row r="231" spans="7:7" x14ac:dyDescent="0.3">
      <c r="G231" s="2" t="s">
        <v>4180</v>
      </c>
    </row>
    <row r="232" spans="7:7" x14ac:dyDescent="0.3">
      <c r="G232" s="11"/>
    </row>
    <row r="233" spans="7:7" x14ac:dyDescent="0.3">
      <c r="G233" s="2" t="s">
        <v>4136</v>
      </c>
    </row>
    <row r="234" spans="7:7" x14ac:dyDescent="0.3">
      <c r="G234" s="11"/>
    </row>
    <row r="235" spans="7:7" x14ac:dyDescent="0.3">
      <c r="G235" s="2" t="s">
        <v>4137</v>
      </c>
    </row>
    <row r="236" spans="7:7" x14ac:dyDescent="0.3">
      <c r="G236" s="2" t="s">
        <v>4201</v>
      </c>
    </row>
    <row r="237" spans="7:7" x14ac:dyDescent="0.3">
      <c r="G237" s="11"/>
    </row>
    <row r="238" spans="7:7" x14ac:dyDescent="0.3">
      <c r="G238" s="2" t="s">
        <v>4142</v>
      </c>
    </row>
    <row r="239" spans="7:7" x14ac:dyDescent="0.3">
      <c r="G239" s="2" t="s">
        <v>4202</v>
      </c>
    </row>
    <row r="240" spans="7:7" x14ac:dyDescent="0.3">
      <c r="G240" s="2" t="s">
        <v>4203</v>
      </c>
    </row>
    <row r="241" spans="7:7" x14ac:dyDescent="0.3">
      <c r="G241" s="2" t="s">
        <v>4180</v>
      </c>
    </row>
    <row r="242" spans="7:7" x14ac:dyDescent="0.3">
      <c r="G242" s="11"/>
    </row>
    <row r="243" spans="7:7" x14ac:dyDescent="0.3">
      <c r="G243" s="2" t="s">
        <v>4136</v>
      </c>
    </row>
    <row r="244" spans="7:7" x14ac:dyDescent="0.3">
      <c r="G244" s="11"/>
    </row>
    <row r="245" spans="7:7" x14ac:dyDescent="0.3">
      <c r="G245" s="2" t="s">
        <v>4138</v>
      </c>
    </row>
    <row r="246" spans="7:7" x14ac:dyDescent="0.3">
      <c r="G246" s="2" t="s">
        <v>4204</v>
      </c>
    </row>
    <row r="247" spans="7:7" x14ac:dyDescent="0.3">
      <c r="G247" s="11"/>
    </row>
    <row r="248" spans="7:7" x14ac:dyDescent="0.3">
      <c r="G248" s="2" t="s">
        <v>4142</v>
      </c>
    </row>
    <row r="249" spans="7:7" x14ac:dyDescent="0.3">
      <c r="G249" s="2" t="s">
        <v>4181</v>
      </c>
    </row>
    <row r="250" spans="7:7" x14ac:dyDescent="0.3">
      <c r="G250" s="2" t="s">
        <v>4199</v>
      </c>
    </row>
    <row r="251" spans="7:7" x14ac:dyDescent="0.3">
      <c r="G251" s="2" t="s">
        <v>4180</v>
      </c>
    </row>
    <row r="252" spans="7:7" x14ac:dyDescent="0.3">
      <c r="G252" s="11"/>
    </row>
    <row r="253" spans="7:7" x14ac:dyDescent="0.3">
      <c r="G253" s="2" t="s">
        <v>4136</v>
      </c>
    </row>
    <row r="254" spans="7:7" x14ac:dyDescent="0.3">
      <c r="G254" s="11"/>
    </row>
    <row r="255" spans="7:7" x14ac:dyDescent="0.3">
      <c r="G255" s="2" t="s">
        <v>4139</v>
      </c>
    </row>
    <row r="256" spans="7:7" x14ac:dyDescent="0.3">
      <c r="G256" s="2" t="s">
        <v>4182</v>
      </c>
    </row>
    <row r="257" spans="7:7" x14ac:dyDescent="0.3">
      <c r="G257" s="11"/>
    </row>
    <row r="258" spans="7:7" x14ac:dyDescent="0.3">
      <c r="G258" s="2" t="s">
        <v>4142</v>
      </c>
    </row>
    <row r="259" spans="7:7" x14ac:dyDescent="0.3">
      <c r="G259" s="2" t="s">
        <v>4181</v>
      </c>
    </row>
    <row r="260" spans="7:7" x14ac:dyDescent="0.3">
      <c r="G260" s="2" t="s">
        <v>4183</v>
      </c>
    </row>
    <row r="261" spans="7:7" x14ac:dyDescent="0.3">
      <c r="G261" s="2" t="s">
        <v>4180</v>
      </c>
    </row>
    <row r="262" spans="7:7" x14ac:dyDescent="0.3">
      <c r="G262" s="11"/>
    </row>
    <row r="263" spans="7:7" x14ac:dyDescent="0.3">
      <c r="G263" s="2" t="s">
        <v>4136</v>
      </c>
    </row>
    <row r="264" spans="7:7" x14ac:dyDescent="0.3">
      <c r="G264" s="2" t="s">
        <v>4184</v>
      </c>
    </row>
    <row r="265" spans="7:7" x14ac:dyDescent="0.3">
      <c r="G265" s="11"/>
    </row>
    <row r="266" spans="7:7" x14ac:dyDescent="0.3">
      <c r="G266" s="2" t="s">
        <v>4205</v>
      </c>
    </row>
    <row r="267" spans="7:7" x14ac:dyDescent="0.3">
      <c r="G267" s="11"/>
    </row>
    <row r="268" spans="7:7" x14ac:dyDescent="0.3">
      <c r="G268" s="2" t="s">
        <v>4159</v>
      </c>
    </row>
    <row r="269" spans="7:7" x14ac:dyDescent="0.3">
      <c r="G269" s="2" t="s">
        <v>4185</v>
      </c>
    </row>
    <row r="270" spans="7:7" x14ac:dyDescent="0.3">
      <c r="G270" s="2" t="s">
        <v>4186</v>
      </c>
    </row>
    <row r="271" spans="7:7" x14ac:dyDescent="0.3">
      <c r="G271" s="2" t="s">
        <v>4187</v>
      </c>
    </row>
    <row r="272" spans="7:7" x14ac:dyDescent="0.3">
      <c r="G272" s="11"/>
    </row>
    <row r="273" spans="7:7" x14ac:dyDescent="0.3">
      <c r="G273" s="2" t="s">
        <v>4163</v>
      </c>
    </row>
    <row r="274" spans="7:7" x14ac:dyDescent="0.3">
      <c r="G274" s="2" t="s">
        <v>4164</v>
      </c>
    </row>
    <row r="275" spans="7:7" x14ac:dyDescent="0.3">
      <c r="G275" s="2" t="s">
        <v>4188</v>
      </c>
    </row>
    <row r="276" spans="7:7" x14ac:dyDescent="0.3">
      <c r="G276" s="2" t="s">
        <v>4189</v>
      </c>
    </row>
    <row r="277" spans="7:7" x14ac:dyDescent="0.3">
      <c r="G277" s="2" t="s">
        <v>4190</v>
      </c>
    </row>
    <row r="278" spans="7:7" x14ac:dyDescent="0.3">
      <c r="G278" s="2" t="s">
        <v>4168</v>
      </c>
    </row>
    <row r="279" spans="7:7" x14ac:dyDescent="0.3">
      <c r="G279" s="2" t="s">
        <v>4191</v>
      </c>
    </row>
    <row r="280" spans="7:7" x14ac:dyDescent="0.3">
      <c r="G280" s="2" t="s">
        <v>4192</v>
      </c>
    </row>
    <row r="281" spans="7:7" x14ac:dyDescent="0.3">
      <c r="G281" s="2" t="s">
        <v>4193</v>
      </c>
    </row>
    <row r="282" spans="7:7" x14ac:dyDescent="0.3">
      <c r="G282" s="2" t="s">
        <v>4194</v>
      </c>
    </row>
    <row r="283" spans="7:7" x14ac:dyDescent="0.3">
      <c r="G283" s="2" t="s">
        <v>4195</v>
      </c>
    </row>
    <row r="284" spans="7:7" x14ac:dyDescent="0.3">
      <c r="G284" s="2" t="s">
        <v>4174</v>
      </c>
    </row>
    <row r="285" spans="7:7" x14ac:dyDescent="0.3">
      <c r="G285" s="2" t="s">
        <v>4196</v>
      </c>
    </row>
    <row r="286" spans="7:7" x14ac:dyDescent="0.3">
      <c r="G286" s="2" t="s">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8"/>
  <sheetViews>
    <sheetView topLeftCell="A137" workbookViewId="0">
      <selection activeCell="B159" sqref="B159"/>
    </sheetView>
  </sheetViews>
  <sheetFormatPr defaultRowHeight="14.4" x14ac:dyDescent="0.3"/>
  <cols>
    <col min="1" max="1" width="8.44140625" style="5" bestFit="1" customWidth="1"/>
    <col min="2" max="2" width="53.44140625" bestFit="1" customWidth="1"/>
    <col min="3" max="3" width="8.44140625" style="5" bestFit="1" customWidth="1"/>
    <col min="4" max="4" width="53.44140625" bestFit="1" customWidth="1"/>
  </cols>
  <sheetData>
    <row r="1" spans="1:4" x14ac:dyDescent="0.3">
      <c r="A1" s="4"/>
      <c r="B1" s="13" t="s">
        <v>2958</v>
      </c>
      <c r="C1" s="4"/>
      <c r="D1" s="13" t="s">
        <v>3354</v>
      </c>
    </row>
    <row r="2" spans="1:4" x14ac:dyDescent="0.3">
      <c r="B2" s="8" t="s">
        <v>18</v>
      </c>
      <c r="D2" s="8" t="s">
        <v>18</v>
      </c>
    </row>
    <row r="3" spans="1:4" x14ac:dyDescent="0.3">
      <c r="B3" s="8" t="s">
        <v>3927</v>
      </c>
      <c r="D3" s="8" t="s">
        <v>26</v>
      </c>
    </row>
    <row r="4" spans="1:4" x14ac:dyDescent="0.3">
      <c r="B4" s="8" t="s">
        <v>27</v>
      </c>
      <c r="D4" s="8" t="s">
        <v>27</v>
      </c>
    </row>
    <row r="5" spans="1:4" x14ac:dyDescent="0.3">
      <c r="B5" s="8" t="s">
        <v>28</v>
      </c>
      <c r="D5" s="8" t="s">
        <v>28</v>
      </c>
    </row>
    <row r="6" spans="1:4" x14ac:dyDescent="0.3">
      <c r="B6" s="8" t="s">
        <v>3928</v>
      </c>
      <c r="D6" s="8" t="s">
        <v>3949</v>
      </c>
    </row>
    <row r="7" spans="1:4" x14ac:dyDescent="0.3">
      <c r="B7" s="8" t="s">
        <v>3929</v>
      </c>
      <c r="D7" s="8" t="s">
        <v>3929</v>
      </c>
    </row>
    <row r="8" spans="1:4" x14ac:dyDescent="0.3">
      <c r="B8" s="8" t="s">
        <v>19</v>
      </c>
      <c r="D8" s="8" t="s">
        <v>19</v>
      </c>
    </row>
    <row r="9" spans="1:4" x14ac:dyDescent="0.3">
      <c r="B9" s="8" t="s">
        <v>30</v>
      </c>
      <c r="D9" s="8" t="s">
        <v>30</v>
      </c>
    </row>
    <row r="10" spans="1:4" x14ac:dyDescent="0.3">
      <c r="B10" s="8" t="s">
        <v>3930</v>
      </c>
      <c r="D10" s="8" t="s">
        <v>3930</v>
      </c>
    </row>
    <row r="11" spans="1:4" x14ac:dyDescent="0.3">
      <c r="B11" s="8" t="s">
        <v>3931</v>
      </c>
      <c r="D11" s="8" t="s">
        <v>3931</v>
      </c>
    </row>
    <row r="12" spans="1:4" x14ac:dyDescent="0.3">
      <c r="B12" s="8" t="s">
        <v>19</v>
      </c>
      <c r="D12" s="8" t="s">
        <v>19</v>
      </c>
    </row>
    <row r="13" spans="1:4" x14ac:dyDescent="0.3">
      <c r="B13" s="8" t="s">
        <v>32</v>
      </c>
      <c r="D13" s="8" t="s">
        <v>32</v>
      </c>
    </row>
    <row r="14" spans="1:4" x14ac:dyDescent="0.3">
      <c r="B14" s="8" t="s">
        <v>3932</v>
      </c>
      <c r="D14" s="8" t="s">
        <v>3932</v>
      </c>
    </row>
    <row r="15" spans="1:4" x14ac:dyDescent="0.3">
      <c r="B15" s="8" t="s">
        <v>20</v>
      </c>
      <c r="D15" s="8" t="s">
        <v>20</v>
      </c>
    </row>
    <row r="16" spans="1:4" x14ac:dyDescent="0.3">
      <c r="B16" s="8" t="s">
        <v>21</v>
      </c>
      <c r="D16" s="8" t="s">
        <v>21</v>
      </c>
    </row>
    <row r="17" spans="2:4" x14ac:dyDescent="0.3">
      <c r="B17" s="8" t="s">
        <v>34</v>
      </c>
      <c r="D17" s="8" t="s">
        <v>34</v>
      </c>
    </row>
    <row r="18" spans="2:4" x14ac:dyDescent="0.3">
      <c r="B18" s="8" t="s">
        <v>35</v>
      </c>
      <c r="D18" s="8" t="s">
        <v>35</v>
      </c>
    </row>
    <row r="19" spans="2:4" x14ac:dyDescent="0.3">
      <c r="B19" s="8" t="s">
        <v>3933</v>
      </c>
      <c r="D19" s="8" t="s">
        <v>4097</v>
      </c>
    </row>
    <row r="20" spans="2:4" x14ac:dyDescent="0.3">
      <c r="B20" s="8" t="s">
        <v>19</v>
      </c>
      <c r="D20" s="8" t="s">
        <v>19</v>
      </c>
    </row>
    <row r="21" spans="2:4" x14ac:dyDescent="0.3">
      <c r="B21" s="8" t="s">
        <v>37</v>
      </c>
      <c r="D21" s="8" t="s">
        <v>37</v>
      </c>
    </row>
    <row r="22" spans="2:4" x14ac:dyDescent="0.3">
      <c r="B22" s="8" t="s">
        <v>3934</v>
      </c>
      <c r="D22" s="8" t="s">
        <v>3934</v>
      </c>
    </row>
    <row r="23" spans="2:4" x14ac:dyDescent="0.3">
      <c r="B23" s="8" t="s">
        <v>19</v>
      </c>
      <c r="D23" s="8" t="s">
        <v>19</v>
      </c>
    </row>
    <row r="24" spans="2:4" x14ac:dyDescent="0.3">
      <c r="B24" s="8" t="s">
        <v>39</v>
      </c>
      <c r="D24" s="8" t="s">
        <v>39</v>
      </c>
    </row>
    <row r="25" spans="2:4" x14ac:dyDescent="0.3">
      <c r="B25" s="8" t="s">
        <v>3935</v>
      </c>
      <c r="D25" s="8" t="s">
        <v>3935</v>
      </c>
    </row>
    <row r="26" spans="2:4" x14ac:dyDescent="0.3">
      <c r="B26" s="8" t="s">
        <v>3936</v>
      </c>
      <c r="D26" s="8" t="s">
        <v>3936</v>
      </c>
    </row>
    <row r="27" spans="2:4" x14ac:dyDescent="0.3">
      <c r="B27" s="8" t="s">
        <v>19</v>
      </c>
      <c r="D27" s="8" t="s">
        <v>19</v>
      </c>
    </row>
    <row r="28" spans="2:4" x14ac:dyDescent="0.3">
      <c r="B28" s="8" t="s">
        <v>40</v>
      </c>
      <c r="D28" s="8" t="s">
        <v>40</v>
      </c>
    </row>
    <row r="29" spans="2:4" x14ac:dyDescent="0.3">
      <c r="B29" s="8" t="s">
        <v>3937</v>
      </c>
      <c r="D29" s="8" t="s">
        <v>3937</v>
      </c>
    </row>
    <row r="30" spans="2:4" x14ac:dyDescent="0.3">
      <c r="B30" s="8" t="s">
        <v>19</v>
      </c>
      <c r="D30" s="8" t="s">
        <v>19</v>
      </c>
    </row>
    <row r="31" spans="2:4" x14ac:dyDescent="0.3">
      <c r="B31" s="8" t="s">
        <v>42</v>
      </c>
      <c r="D31" s="8" t="s">
        <v>42</v>
      </c>
    </row>
    <row r="32" spans="2:4" x14ac:dyDescent="0.3">
      <c r="B32" s="8" t="s">
        <v>3938</v>
      </c>
      <c r="D32" s="8" t="s">
        <v>3944</v>
      </c>
    </row>
    <row r="33" spans="2:4" x14ac:dyDescent="0.3">
      <c r="B33" s="8" t="s">
        <v>20</v>
      </c>
      <c r="D33" s="8" t="s">
        <v>20</v>
      </c>
    </row>
    <row r="34" spans="2:4" x14ac:dyDescent="0.3">
      <c r="B34" s="8" t="s">
        <v>21</v>
      </c>
      <c r="D34" s="8" t="s">
        <v>21</v>
      </c>
    </row>
    <row r="35" spans="2:4" x14ac:dyDescent="0.3">
      <c r="B35" s="8" t="s">
        <v>43</v>
      </c>
      <c r="D35" s="8" t="s">
        <v>43</v>
      </c>
    </row>
    <row r="36" spans="2:4" x14ac:dyDescent="0.3">
      <c r="B36" s="8" t="s">
        <v>44</v>
      </c>
      <c r="D36" s="8" t="s">
        <v>44</v>
      </c>
    </row>
    <row r="37" spans="2:4" x14ac:dyDescent="0.3">
      <c r="B37" s="8" t="s">
        <v>3939</v>
      </c>
      <c r="D37" s="8" t="s">
        <v>3939</v>
      </c>
    </row>
    <row r="38" spans="2:4" x14ac:dyDescent="0.3">
      <c r="B38" s="8" t="s">
        <v>20</v>
      </c>
      <c r="D38" s="8" t="s">
        <v>20</v>
      </c>
    </row>
    <row r="39" spans="2:4" x14ac:dyDescent="0.3">
      <c r="B39" s="8" t="s">
        <v>22</v>
      </c>
      <c r="D39" s="8" t="s">
        <v>22</v>
      </c>
    </row>
    <row r="40" spans="2:4" x14ac:dyDescent="0.3">
      <c r="B40" s="8" t="s">
        <v>23</v>
      </c>
      <c r="D40" s="8" t="s">
        <v>23</v>
      </c>
    </row>
    <row r="41" spans="2:4" x14ac:dyDescent="0.3">
      <c r="B41" s="22"/>
      <c r="D41" s="8" t="s">
        <v>46</v>
      </c>
    </row>
    <row r="42" spans="2:4" x14ac:dyDescent="0.3">
      <c r="B42" s="8" t="s">
        <v>3940</v>
      </c>
      <c r="D42" s="8" t="s">
        <v>27</v>
      </c>
    </row>
    <row r="43" spans="2:4" x14ac:dyDescent="0.3">
      <c r="B43" s="8" t="s">
        <v>3941</v>
      </c>
      <c r="D43" s="8" t="s">
        <v>28</v>
      </c>
    </row>
    <row r="44" spans="2:4" x14ac:dyDescent="0.3">
      <c r="B44" s="8" t="s">
        <v>28</v>
      </c>
      <c r="D44" s="8" t="s">
        <v>3928</v>
      </c>
    </row>
    <row r="45" spans="2:4" x14ac:dyDescent="0.3">
      <c r="B45" s="8" t="s">
        <v>3928</v>
      </c>
      <c r="D45" s="8" t="s">
        <v>3942</v>
      </c>
    </row>
    <row r="46" spans="2:4" x14ac:dyDescent="0.3">
      <c r="B46" s="8" t="s">
        <v>3942</v>
      </c>
      <c r="D46" s="8" t="s">
        <v>19</v>
      </c>
    </row>
    <row r="47" spans="2:4" x14ac:dyDescent="0.3">
      <c r="B47" s="8" t="s">
        <v>19</v>
      </c>
      <c r="D47" s="8" t="s">
        <v>30</v>
      </c>
    </row>
    <row r="48" spans="2:4" x14ac:dyDescent="0.3">
      <c r="B48" s="8" t="s">
        <v>30</v>
      </c>
      <c r="D48" s="8" t="s">
        <v>3930</v>
      </c>
    </row>
    <row r="49" spans="2:4" x14ac:dyDescent="0.3">
      <c r="B49" s="8" t="s">
        <v>3930</v>
      </c>
      <c r="D49" s="8" t="s">
        <v>4111</v>
      </c>
    </row>
    <row r="50" spans="2:4" x14ac:dyDescent="0.3">
      <c r="B50" s="8" t="s">
        <v>3931</v>
      </c>
      <c r="D50" s="8" t="s">
        <v>19</v>
      </c>
    </row>
    <row r="51" spans="2:4" x14ac:dyDescent="0.3">
      <c r="B51" s="8" t="s">
        <v>19</v>
      </c>
      <c r="D51" s="8" t="s">
        <v>32</v>
      </c>
    </row>
    <row r="52" spans="2:4" x14ac:dyDescent="0.3">
      <c r="B52" s="8" t="s">
        <v>32</v>
      </c>
      <c r="D52" s="8" t="s">
        <v>3932</v>
      </c>
    </row>
    <row r="53" spans="2:4" x14ac:dyDescent="0.3">
      <c r="B53" s="8" t="s">
        <v>3932</v>
      </c>
      <c r="D53" s="8" t="s">
        <v>20</v>
      </c>
    </row>
    <row r="54" spans="2:4" x14ac:dyDescent="0.3">
      <c r="B54" s="8" t="s">
        <v>20</v>
      </c>
      <c r="D54" s="8" t="s">
        <v>21</v>
      </c>
    </row>
    <row r="55" spans="2:4" x14ac:dyDescent="0.3">
      <c r="B55" s="8" t="s">
        <v>21</v>
      </c>
      <c r="D55" s="8" t="s">
        <v>34</v>
      </c>
    </row>
    <row r="56" spans="2:4" x14ac:dyDescent="0.3">
      <c r="B56" s="8" t="s">
        <v>34</v>
      </c>
      <c r="D56" s="8" t="s">
        <v>35</v>
      </c>
    </row>
    <row r="57" spans="2:4" x14ac:dyDescent="0.3">
      <c r="B57" s="8" t="s">
        <v>35</v>
      </c>
      <c r="D57" s="8" t="s">
        <v>3933</v>
      </c>
    </row>
    <row r="58" spans="2:4" x14ac:dyDescent="0.3">
      <c r="B58" s="8" t="s">
        <v>3933</v>
      </c>
      <c r="D58" s="8" t="s">
        <v>19</v>
      </c>
    </row>
    <row r="59" spans="2:4" x14ac:dyDescent="0.3">
      <c r="B59" s="8" t="s">
        <v>19</v>
      </c>
      <c r="D59" s="8" t="s">
        <v>37</v>
      </c>
    </row>
    <row r="60" spans="2:4" x14ac:dyDescent="0.3">
      <c r="B60" s="8" t="s">
        <v>37</v>
      </c>
      <c r="D60" s="8" t="s">
        <v>3934</v>
      </c>
    </row>
    <row r="61" spans="2:4" x14ac:dyDescent="0.3">
      <c r="B61" s="8" t="s">
        <v>3934</v>
      </c>
      <c r="D61" s="8" t="s">
        <v>19</v>
      </c>
    </row>
    <row r="62" spans="2:4" x14ac:dyDescent="0.3">
      <c r="B62" s="8" t="s">
        <v>19</v>
      </c>
      <c r="D62" s="8" t="s">
        <v>39</v>
      </c>
    </row>
    <row r="63" spans="2:4" x14ac:dyDescent="0.3">
      <c r="B63" s="8" t="s">
        <v>39</v>
      </c>
      <c r="D63" s="8" t="s">
        <v>3935</v>
      </c>
    </row>
    <row r="64" spans="2:4" x14ac:dyDescent="0.3">
      <c r="B64" s="8" t="s">
        <v>3935</v>
      </c>
      <c r="D64" s="8" t="s">
        <v>3936</v>
      </c>
    </row>
    <row r="65" spans="2:4" x14ac:dyDescent="0.3">
      <c r="B65" s="8" t="s">
        <v>3943</v>
      </c>
      <c r="D65" s="8" t="s">
        <v>19</v>
      </c>
    </row>
    <row r="66" spans="2:4" x14ac:dyDescent="0.3">
      <c r="B66" s="8" t="s">
        <v>19</v>
      </c>
      <c r="D66" s="8" t="s">
        <v>40</v>
      </c>
    </row>
    <row r="67" spans="2:4" x14ac:dyDescent="0.3">
      <c r="B67" s="8" t="s">
        <v>40</v>
      </c>
      <c r="D67" s="8" t="s">
        <v>3937</v>
      </c>
    </row>
    <row r="68" spans="2:4" x14ac:dyDescent="0.3">
      <c r="B68" s="8" t="s">
        <v>3937</v>
      </c>
      <c r="D68" s="8" t="s">
        <v>19</v>
      </c>
    </row>
    <row r="69" spans="2:4" x14ac:dyDescent="0.3">
      <c r="B69" s="8" t="s">
        <v>19</v>
      </c>
      <c r="D69" s="8" t="s">
        <v>42</v>
      </c>
    </row>
    <row r="70" spans="2:4" x14ac:dyDescent="0.3">
      <c r="B70" s="8" t="s">
        <v>42</v>
      </c>
      <c r="D70" s="8" t="s">
        <v>3944</v>
      </c>
    </row>
    <row r="71" spans="2:4" x14ac:dyDescent="0.3">
      <c r="B71" s="8" t="s">
        <v>3944</v>
      </c>
      <c r="D71" s="8" t="s">
        <v>20</v>
      </c>
    </row>
    <row r="72" spans="2:4" x14ac:dyDescent="0.3">
      <c r="B72" s="8" t="s">
        <v>20</v>
      </c>
      <c r="D72" s="8" t="s">
        <v>21</v>
      </c>
    </row>
    <row r="73" spans="2:4" x14ac:dyDescent="0.3">
      <c r="B73" s="8" t="s">
        <v>21</v>
      </c>
      <c r="D73" s="8" t="s">
        <v>43</v>
      </c>
    </row>
    <row r="74" spans="2:4" x14ac:dyDescent="0.3">
      <c r="B74" s="8" t="s">
        <v>43</v>
      </c>
      <c r="D74" s="8" t="s">
        <v>44</v>
      </c>
    </row>
    <row r="75" spans="2:4" x14ac:dyDescent="0.3">
      <c r="B75" s="8" t="s">
        <v>44</v>
      </c>
      <c r="D75" s="8" t="s">
        <v>3939</v>
      </c>
    </row>
    <row r="76" spans="2:4" x14ac:dyDescent="0.3">
      <c r="B76" s="8" t="s">
        <v>3939</v>
      </c>
      <c r="D76" s="8" t="s">
        <v>20</v>
      </c>
    </row>
    <row r="77" spans="2:4" x14ac:dyDescent="0.3">
      <c r="B77" s="8" t="s">
        <v>20</v>
      </c>
      <c r="D77" s="8" t="s">
        <v>22</v>
      </c>
    </row>
    <row r="78" spans="2:4" x14ac:dyDescent="0.3">
      <c r="B78" s="8" t="s">
        <v>22</v>
      </c>
      <c r="D78" s="8" t="s">
        <v>23</v>
      </c>
    </row>
    <row r="79" spans="2:4" x14ac:dyDescent="0.3">
      <c r="B79" s="8" t="s">
        <v>23</v>
      </c>
      <c r="D79" s="8" t="s">
        <v>56</v>
      </c>
    </row>
    <row r="80" spans="2:4" x14ac:dyDescent="0.3">
      <c r="B80" s="8" t="s">
        <v>3925</v>
      </c>
      <c r="D80" s="8" t="s">
        <v>27</v>
      </c>
    </row>
    <row r="81" spans="2:4" x14ac:dyDescent="0.3">
      <c r="B81" s="8" t="s">
        <v>3945</v>
      </c>
      <c r="D81" s="8" t="s">
        <v>28</v>
      </c>
    </row>
    <row r="82" spans="2:4" x14ac:dyDescent="0.3">
      <c r="B82" s="8" t="s">
        <v>3941</v>
      </c>
      <c r="D82" s="8" t="s">
        <v>3928</v>
      </c>
    </row>
    <row r="83" spans="2:4" x14ac:dyDescent="0.3">
      <c r="B83" s="8" t="s">
        <v>28</v>
      </c>
      <c r="D83" s="8" t="s">
        <v>3942</v>
      </c>
    </row>
    <row r="84" spans="2:4" x14ac:dyDescent="0.3">
      <c r="B84" s="8" t="s">
        <v>3928</v>
      </c>
      <c r="D84" s="8" t="s">
        <v>19</v>
      </c>
    </row>
    <row r="85" spans="2:4" x14ac:dyDescent="0.3">
      <c r="B85" s="8" t="s">
        <v>3929</v>
      </c>
      <c r="D85" s="8" t="s">
        <v>30</v>
      </c>
    </row>
    <row r="86" spans="2:4" x14ac:dyDescent="0.3">
      <c r="B86" s="8" t="s">
        <v>19</v>
      </c>
      <c r="D86" s="8" t="s">
        <v>3930</v>
      </c>
    </row>
    <row r="87" spans="2:4" x14ac:dyDescent="0.3">
      <c r="B87" s="8" t="s">
        <v>30</v>
      </c>
      <c r="D87" s="8" t="s">
        <v>3931</v>
      </c>
    </row>
    <row r="88" spans="2:4" x14ac:dyDescent="0.3">
      <c r="B88" s="8" t="s">
        <v>3930</v>
      </c>
      <c r="D88" s="8" t="s">
        <v>19</v>
      </c>
    </row>
    <row r="89" spans="2:4" x14ac:dyDescent="0.3">
      <c r="B89" s="8" t="s">
        <v>3946</v>
      </c>
      <c r="D89" s="8" t="s">
        <v>32</v>
      </c>
    </row>
    <row r="90" spans="2:4" x14ac:dyDescent="0.3">
      <c r="B90" s="8" t="s">
        <v>19</v>
      </c>
      <c r="D90" s="8" t="s">
        <v>3932</v>
      </c>
    </row>
    <row r="91" spans="2:4" x14ac:dyDescent="0.3">
      <c r="B91" s="8" t="s">
        <v>32</v>
      </c>
      <c r="D91" s="8" t="s">
        <v>20</v>
      </c>
    </row>
    <row r="92" spans="2:4" x14ac:dyDescent="0.3">
      <c r="B92" s="8" t="s">
        <v>3932</v>
      </c>
      <c r="D92" s="8" t="s">
        <v>21</v>
      </c>
    </row>
    <row r="93" spans="2:4" x14ac:dyDescent="0.3">
      <c r="B93" s="8" t="s">
        <v>20</v>
      </c>
      <c r="D93" s="8" t="s">
        <v>34</v>
      </c>
    </row>
    <row r="94" spans="2:4" x14ac:dyDescent="0.3">
      <c r="B94" s="8" t="s">
        <v>21</v>
      </c>
      <c r="D94" s="8" t="s">
        <v>35</v>
      </c>
    </row>
    <row r="95" spans="2:4" x14ac:dyDescent="0.3">
      <c r="B95" s="8" t="s">
        <v>34</v>
      </c>
      <c r="D95" s="8" t="s">
        <v>3933</v>
      </c>
    </row>
    <row r="96" spans="2:4" x14ac:dyDescent="0.3">
      <c r="B96" s="8" t="s">
        <v>35</v>
      </c>
      <c r="D96" s="8" t="s">
        <v>19</v>
      </c>
    </row>
    <row r="97" spans="2:4" x14ac:dyDescent="0.3">
      <c r="B97" s="8" t="s">
        <v>3933</v>
      </c>
      <c r="D97" s="8" t="s">
        <v>37</v>
      </c>
    </row>
    <row r="98" spans="2:4" x14ac:dyDescent="0.3">
      <c r="B98" s="8" t="s">
        <v>19</v>
      </c>
      <c r="D98" s="8" t="s">
        <v>3934</v>
      </c>
    </row>
    <row r="99" spans="2:4" x14ac:dyDescent="0.3">
      <c r="B99" s="8" t="s">
        <v>37</v>
      </c>
      <c r="D99" s="8" t="s">
        <v>19</v>
      </c>
    </row>
    <row r="100" spans="2:4" x14ac:dyDescent="0.3">
      <c r="B100" s="8" t="s">
        <v>3934</v>
      </c>
      <c r="D100" s="8" t="s">
        <v>39</v>
      </c>
    </row>
    <row r="101" spans="2:4" x14ac:dyDescent="0.3">
      <c r="B101" s="8" t="s">
        <v>19</v>
      </c>
      <c r="D101" s="8" t="s">
        <v>3935</v>
      </c>
    </row>
    <row r="102" spans="2:4" x14ac:dyDescent="0.3">
      <c r="B102" s="8" t="s">
        <v>39</v>
      </c>
      <c r="D102" s="8" t="s">
        <v>3936</v>
      </c>
    </row>
    <row r="103" spans="2:4" x14ac:dyDescent="0.3">
      <c r="B103" s="8" t="s">
        <v>3935</v>
      </c>
      <c r="D103" s="8" t="s">
        <v>19</v>
      </c>
    </row>
    <row r="104" spans="2:4" x14ac:dyDescent="0.3">
      <c r="B104" s="8" t="s">
        <v>3936</v>
      </c>
      <c r="D104" s="8" t="s">
        <v>40</v>
      </c>
    </row>
    <row r="105" spans="2:4" x14ac:dyDescent="0.3">
      <c r="B105" s="8" t="s">
        <v>19</v>
      </c>
      <c r="D105" s="8" t="s">
        <v>3937</v>
      </c>
    </row>
    <row r="106" spans="2:4" x14ac:dyDescent="0.3">
      <c r="B106" s="8" t="s">
        <v>40</v>
      </c>
      <c r="D106" s="8" t="s">
        <v>19</v>
      </c>
    </row>
    <row r="107" spans="2:4" x14ac:dyDescent="0.3">
      <c r="B107" s="8" t="s">
        <v>3947</v>
      </c>
      <c r="D107" s="8" t="s">
        <v>42</v>
      </c>
    </row>
    <row r="108" spans="2:4" x14ac:dyDescent="0.3">
      <c r="B108" s="8" t="s">
        <v>19</v>
      </c>
      <c r="D108" s="8" t="s">
        <v>3938</v>
      </c>
    </row>
    <row r="109" spans="2:4" x14ac:dyDescent="0.3">
      <c r="B109" s="8" t="s">
        <v>42</v>
      </c>
      <c r="D109" s="8" t="s">
        <v>20</v>
      </c>
    </row>
    <row r="110" spans="2:4" x14ac:dyDescent="0.3">
      <c r="B110" s="8" t="s">
        <v>3944</v>
      </c>
      <c r="D110" s="8" t="s">
        <v>21</v>
      </c>
    </row>
    <row r="111" spans="2:4" x14ac:dyDescent="0.3">
      <c r="B111" s="8" t="s">
        <v>20</v>
      </c>
      <c r="D111" s="8" t="s">
        <v>43</v>
      </c>
    </row>
    <row r="112" spans="2:4" x14ac:dyDescent="0.3">
      <c r="B112" s="8" t="s">
        <v>21</v>
      </c>
      <c r="D112" s="8" t="s">
        <v>44</v>
      </c>
    </row>
    <row r="113" spans="2:4" x14ac:dyDescent="0.3">
      <c r="B113" s="8" t="s">
        <v>43</v>
      </c>
      <c r="D113" s="8" t="s">
        <v>3939</v>
      </c>
    </row>
    <row r="114" spans="2:4" x14ac:dyDescent="0.3">
      <c r="B114" s="8" t="s">
        <v>44</v>
      </c>
      <c r="D114" s="8" t="s">
        <v>20</v>
      </c>
    </row>
    <row r="115" spans="2:4" x14ac:dyDescent="0.3">
      <c r="B115" s="8" t="s">
        <v>3939</v>
      </c>
      <c r="D115" s="8" t="s">
        <v>22</v>
      </c>
    </row>
    <row r="116" spans="2:4" x14ac:dyDescent="0.3">
      <c r="B116" s="8" t="s">
        <v>20</v>
      </c>
      <c r="D116" s="8" t="s">
        <v>23</v>
      </c>
    </row>
    <row r="117" spans="2:4" x14ac:dyDescent="0.3">
      <c r="B117" s="8" t="s">
        <v>22</v>
      </c>
      <c r="D117" s="8" t="s">
        <v>60</v>
      </c>
    </row>
    <row r="118" spans="2:4" x14ac:dyDescent="0.3">
      <c r="B118" s="8" t="s">
        <v>23</v>
      </c>
      <c r="D118" s="8" t="s">
        <v>27</v>
      </c>
    </row>
    <row r="119" spans="2:4" x14ac:dyDescent="0.3">
      <c r="B119" s="8" t="s">
        <v>3925</v>
      </c>
      <c r="D119" s="8" t="s">
        <v>28</v>
      </c>
    </row>
    <row r="120" spans="2:4" x14ac:dyDescent="0.3">
      <c r="B120" s="8" t="s">
        <v>3948</v>
      </c>
      <c r="D120" s="8" t="s">
        <v>3928</v>
      </c>
    </row>
    <row r="121" spans="2:4" x14ac:dyDescent="0.3">
      <c r="B121" s="8" t="s">
        <v>3941</v>
      </c>
      <c r="D121" s="8" t="s">
        <v>3942</v>
      </c>
    </row>
    <row r="122" spans="2:4" x14ac:dyDescent="0.3">
      <c r="B122" s="8" t="s">
        <v>28</v>
      </c>
      <c r="D122" s="8" t="s">
        <v>19</v>
      </c>
    </row>
    <row r="123" spans="2:4" x14ac:dyDescent="0.3">
      <c r="B123" s="8" t="s">
        <v>3949</v>
      </c>
      <c r="D123" s="8" t="s">
        <v>30</v>
      </c>
    </row>
    <row r="124" spans="2:4" x14ac:dyDescent="0.3">
      <c r="B124" s="8" t="s">
        <v>3929</v>
      </c>
      <c r="D124" s="8" t="s">
        <v>3930</v>
      </c>
    </row>
    <row r="125" spans="2:4" x14ac:dyDescent="0.3">
      <c r="B125" s="8" t="s">
        <v>19</v>
      </c>
      <c r="D125" s="8" t="s">
        <v>3931</v>
      </c>
    </row>
    <row r="126" spans="2:4" x14ac:dyDescent="0.3">
      <c r="B126" s="8" t="s">
        <v>30</v>
      </c>
      <c r="D126" s="8" t="s">
        <v>19</v>
      </c>
    </row>
    <row r="127" spans="2:4" x14ac:dyDescent="0.3">
      <c r="B127" s="8" t="s">
        <v>3930</v>
      </c>
      <c r="D127" s="8" t="s">
        <v>32</v>
      </c>
    </row>
    <row r="128" spans="2:4" x14ac:dyDescent="0.3">
      <c r="B128" s="8" t="s">
        <v>3931</v>
      </c>
      <c r="D128" s="8" t="s">
        <v>3932</v>
      </c>
    </row>
    <row r="129" spans="2:4" x14ac:dyDescent="0.3">
      <c r="B129" s="8" t="s">
        <v>19</v>
      </c>
      <c r="D129" s="8" t="s">
        <v>20</v>
      </c>
    </row>
    <row r="130" spans="2:4" x14ac:dyDescent="0.3">
      <c r="B130" s="8" t="s">
        <v>32</v>
      </c>
      <c r="D130" s="8" t="s">
        <v>21</v>
      </c>
    </row>
    <row r="131" spans="2:4" x14ac:dyDescent="0.3">
      <c r="B131" s="8" t="s">
        <v>3932</v>
      </c>
      <c r="D131" s="8" t="s">
        <v>34</v>
      </c>
    </row>
    <row r="132" spans="2:4" x14ac:dyDescent="0.3">
      <c r="B132" s="8" t="s">
        <v>20</v>
      </c>
      <c r="D132" s="8" t="s">
        <v>35</v>
      </c>
    </row>
    <row r="133" spans="2:4" x14ac:dyDescent="0.3">
      <c r="B133" s="8" t="s">
        <v>21</v>
      </c>
      <c r="D133" s="8" t="s">
        <v>3989</v>
      </c>
    </row>
    <row r="134" spans="2:4" x14ac:dyDescent="0.3">
      <c r="B134" s="8" t="s">
        <v>34</v>
      </c>
      <c r="D134" s="8" t="s">
        <v>19</v>
      </c>
    </row>
    <row r="135" spans="2:4" x14ac:dyDescent="0.3">
      <c r="B135" s="8" t="s">
        <v>35</v>
      </c>
      <c r="D135" s="8" t="s">
        <v>37</v>
      </c>
    </row>
    <row r="136" spans="2:4" x14ac:dyDescent="0.3">
      <c r="B136" s="8" t="s">
        <v>3933</v>
      </c>
      <c r="D136" s="8" t="s">
        <v>3934</v>
      </c>
    </row>
    <row r="137" spans="2:4" x14ac:dyDescent="0.3">
      <c r="B137" s="8" t="s">
        <v>19</v>
      </c>
      <c r="D137" s="8" t="s">
        <v>19</v>
      </c>
    </row>
    <row r="138" spans="2:4" x14ac:dyDescent="0.3">
      <c r="B138" s="8" t="s">
        <v>37</v>
      </c>
      <c r="D138" s="8" t="s">
        <v>39</v>
      </c>
    </row>
    <row r="139" spans="2:4" x14ac:dyDescent="0.3">
      <c r="B139" s="8" t="s">
        <v>3934</v>
      </c>
      <c r="D139" s="8" t="s">
        <v>3935</v>
      </c>
    </row>
    <row r="140" spans="2:4" x14ac:dyDescent="0.3">
      <c r="B140" s="8" t="s">
        <v>19</v>
      </c>
      <c r="D140" s="8" t="s">
        <v>3936</v>
      </c>
    </row>
    <row r="141" spans="2:4" x14ac:dyDescent="0.3">
      <c r="B141" s="8" t="s">
        <v>39</v>
      </c>
      <c r="D141" s="8" t="s">
        <v>19</v>
      </c>
    </row>
    <row r="142" spans="2:4" x14ac:dyDescent="0.3">
      <c r="B142" s="8" t="s">
        <v>3935</v>
      </c>
      <c r="D142" s="8" t="s">
        <v>40</v>
      </c>
    </row>
    <row r="143" spans="2:4" x14ac:dyDescent="0.3">
      <c r="B143" s="8" t="s">
        <v>3936</v>
      </c>
      <c r="D143" s="8" t="s">
        <v>3937</v>
      </c>
    </row>
    <row r="144" spans="2:4" x14ac:dyDescent="0.3">
      <c r="B144" s="8" t="s">
        <v>19</v>
      </c>
      <c r="D144" s="8" t="s">
        <v>19</v>
      </c>
    </row>
    <row r="145" spans="2:4" x14ac:dyDescent="0.3">
      <c r="B145" s="8" t="s">
        <v>40</v>
      </c>
      <c r="D145" s="8" t="s">
        <v>42</v>
      </c>
    </row>
    <row r="146" spans="2:4" x14ac:dyDescent="0.3">
      <c r="B146" s="8" t="s">
        <v>3937</v>
      </c>
      <c r="D146" s="8" t="s">
        <v>3938</v>
      </c>
    </row>
    <row r="147" spans="2:4" x14ac:dyDescent="0.3">
      <c r="B147" s="8" t="s">
        <v>19</v>
      </c>
      <c r="D147" s="8" t="s">
        <v>20</v>
      </c>
    </row>
    <row r="148" spans="2:4" x14ac:dyDescent="0.3">
      <c r="B148" s="8" t="s">
        <v>42</v>
      </c>
      <c r="D148" s="8" t="s">
        <v>21</v>
      </c>
    </row>
    <row r="149" spans="2:4" x14ac:dyDescent="0.3">
      <c r="B149" s="8" t="s">
        <v>3938</v>
      </c>
      <c r="D149" s="8" t="s">
        <v>43</v>
      </c>
    </row>
    <row r="150" spans="2:4" x14ac:dyDescent="0.3">
      <c r="B150" s="8" t="s">
        <v>20</v>
      </c>
      <c r="D150" s="8" t="s">
        <v>44</v>
      </c>
    </row>
    <row r="151" spans="2:4" x14ac:dyDescent="0.3">
      <c r="B151" s="8" t="s">
        <v>21</v>
      </c>
      <c r="D151" s="8" t="s">
        <v>3939</v>
      </c>
    </row>
    <row r="152" spans="2:4" x14ac:dyDescent="0.3">
      <c r="B152" s="8" t="s">
        <v>43</v>
      </c>
      <c r="D152" s="8" t="s">
        <v>20</v>
      </c>
    </row>
    <row r="153" spans="2:4" x14ac:dyDescent="0.3">
      <c r="B153" s="8" t="s">
        <v>44</v>
      </c>
      <c r="D153" s="8" t="s">
        <v>22</v>
      </c>
    </row>
    <row r="154" spans="2:4" x14ac:dyDescent="0.3">
      <c r="B154" s="8" t="s">
        <v>3950</v>
      </c>
      <c r="D154" s="8" t="s">
        <v>24</v>
      </c>
    </row>
    <row r="155" spans="2:4" x14ac:dyDescent="0.3">
      <c r="B155" s="8" t="s">
        <v>20</v>
      </c>
      <c r="D155" s="8" t="s">
        <v>25</v>
      </c>
    </row>
    <row r="156" spans="2:4" x14ac:dyDescent="0.3">
      <c r="B156" s="8" t="s">
        <v>22</v>
      </c>
    </row>
    <row r="157" spans="2:4" x14ac:dyDescent="0.3">
      <c r="B157" s="8" t="s">
        <v>3926</v>
      </c>
    </row>
    <row r="158" spans="2:4" x14ac:dyDescent="0.3">
      <c r="B158" s="8"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1:M743"/>
  <sheetViews>
    <sheetView tabSelected="1" topLeftCell="I1" zoomScale="86" zoomScaleNormal="86" workbookViewId="0">
      <pane ySplit="1" topLeftCell="A125" activePane="bottomLeft" state="frozen"/>
      <selection pane="bottomLeft" activeCell="J53" sqref="J53"/>
    </sheetView>
  </sheetViews>
  <sheetFormatPr defaultRowHeight="14.4" x14ac:dyDescent="0.3"/>
  <cols>
    <col min="3" max="3" width="255.6640625" bestFit="1" customWidth="1"/>
    <col min="4" max="4" width="193.33203125" bestFit="1" customWidth="1"/>
    <col min="5" max="5" width="8.44140625" style="5" bestFit="1" customWidth="1"/>
    <col min="6" max="6" width="171.6640625" customWidth="1"/>
    <col min="7" max="7" width="8.44140625" style="5" customWidth="1"/>
    <col min="8" max="8" width="157.33203125" customWidth="1"/>
    <col min="9" max="9" width="8.44140625" style="5" bestFit="1" customWidth="1"/>
    <col min="10" max="10" width="132.109375" customWidth="1"/>
    <col min="11" max="11" width="8.44140625" style="5" bestFit="1" customWidth="1"/>
    <col min="12" max="12" width="255.6640625" bestFit="1" customWidth="1"/>
    <col min="13" max="13" width="8.44140625" style="5" bestFit="1" customWidth="1"/>
  </cols>
  <sheetData>
    <row r="1" spans="3:13" x14ac:dyDescent="0.3">
      <c r="C1" s="12" t="s">
        <v>2957</v>
      </c>
      <c r="D1" s="6" t="s">
        <v>1460</v>
      </c>
      <c r="E1" s="4"/>
      <c r="F1" s="6" t="s">
        <v>61</v>
      </c>
      <c r="G1" s="4"/>
      <c r="H1" s="13" t="s">
        <v>2958</v>
      </c>
      <c r="I1" s="4"/>
      <c r="J1" s="13" t="s">
        <v>3354</v>
      </c>
      <c r="K1" s="4"/>
      <c r="L1" s="13" t="s">
        <v>3355</v>
      </c>
      <c r="M1" s="4"/>
    </row>
    <row r="2" spans="3:13" x14ac:dyDescent="0.3">
      <c r="C2" s="16" t="s">
        <v>18</v>
      </c>
      <c r="D2" s="8" t="s">
        <v>18</v>
      </c>
      <c r="F2" s="8" t="s">
        <v>18</v>
      </c>
      <c r="H2" s="8" t="s">
        <v>18</v>
      </c>
      <c r="J2" s="8" t="s">
        <v>18</v>
      </c>
      <c r="L2" s="8" t="s">
        <v>18</v>
      </c>
    </row>
    <row r="3" spans="3:13" x14ac:dyDescent="0.3">
      <c r="C3" s="16" t="s">
        <v>3086</v>
      </c>
      <c r="D3" s="8" t="s">
        <v>26</v>
      </c>
      <c r="F3" s="8" t="s">
        <v>26</v>
      </c>
      <c r="H3" s="8" t="s">
        <v>26</v>
      </c>
      <c r="J3" s="8" t="s">
        <v>26</v>
      </c>
      <c r="L3" s="8" t="s">
        <v>26</v>
      </c>
    </row>
    <row r="4" spans="3:13" x14ac:dyDescent="0.3">
      <c r="C4" s="16" t="s">
        <v>3087</v>
      </c>
      <c r="D4" s="8" t="s">
        <v>27</v>
      </c>
      <c r="F4" s="8" t="s">
        <v>27</v>
      </c>
      <c r="H4" s="8" t="s">
        <v>27</v>
      </c>
      <c r="J4" s="8" t="s">
        <v>27</v>
      </c>
      <c r="L4" s="8" t="s">
        <v>27</v>
      </c>
    </row>
    <row r="5" spans="3:13" x14ac:dyDescent="0.3">
      <c r="C5" s="16" t="s">
        <v>3088</v>
      </c>
      <c r="D5" s="8" t="s">
        <v>28</v>
      </c>
      <c r="F5" s="8" t="s">
        <v>28</v>
      </c>
      <c r="H5" s="8" t="s">
        <v>28</v>
      </c>
      <c r="J5" s="8" t="s">
        <v>28</v>
      </c>
      <c r="L5" s="8" t="s">
        <v>28</v>
      </c>
    </row>
    <row r="6" spans="3:13" x14ac:dyDescent="0.3">
      <c r="C6" s="16" t="s">
        <v>3107</v>
      </c>
      <c r="D6" s="8" t="s">
        <v>29</v>
      </c>
      <c r="F6" s="14" t="s">
        <v>47</v>
      </c>
      <c r="G6" s="18" t="s">
        <v>3360</v>
      </c>
      <c r="H6" s="8" t="s">
        <v>29</v>
      </c>
      <c r="J6" s="14" t="s">
        <v>47</v>
      </c>
      <c r="K6" s="18" t="s">
        <v>3360</v>
      </c>
      <c r="L6" s="8" t="s">
        <v>29</v>
      </c>
    </row>
    <row r="7" spans="3:13" x14ac:dyDescent="0.3">
      <c r="C7" s="16" t="s">
        <v>3108</v>
      </c>
      <c r="D7" s="14" t="s">
        <v>2785</v>
      </c>
      <c r="E7" s="18" t="s">
        <v>3358</v>
      </c>
      <c r="F7" s="14" t="s">
        <v>48</v>
      </c>
      <c r="G7" s="18" t="s">
        <v>3360</v>
      </c>
      <c r="H7" s="20" t="s">
        <v>3899</v>
      </c>
      <c r="I7" s="18" t="s">
        <v>3358</v>
      </c>
      <c r="J7" s="14" t="s">
        <v>48</v>
      </c>
      <c r="K7" s="18" t="s">
        <v>3360</v>
      </c>
      <c r="L7" s="8" t="s">
        <v>3290</v>
      </c>
      <c r="M7" s="18" t="s">
        <v>3358</v>
      </c>
    </row>
    <row r="8" spans="3:13" x14ac:dyDescent="0.3">
      <c r="C8" s="16" t="s">
        <v>19</v>
      </c>
      <c r="D8" s="8" t="s">
        <v>19</v>
      </c>
      <c r="F8" s="8" t="s">
        <v>19</v>
      </c>
      <c r="H8" s="8" t="s">
        <v>19</v>
      </c>
      <c r="J8" s="8" t="s">
        <v>19</v>
      </c>
      <c r="L8" s="8" t="s">
        <v>19</v>
      </c>
    </row>
    <row r="9" spans="3:13" x14ac:dyDescent="0.3">
      <c r="C9" s="16" t="s">
        <v>3089</v>
      </c>
      <c r="D9" s="8" t="s">
        <v>30</v>
      </c>
      <c r="F9" s="8" t="s">
        <v>30</v>
      </c>
      <c r="H9" s="8" t="s">
        <v>30</v>
      </c>
      <c r="J9" s="8" t="s">
        <v>30</v>
      </c>
      <c r="L9" s="8" t="s">
        <v>30</v>
      </c>
    </row>
    <row r="10" spans="3:13" x14ac:dyDescent="0.3">
      <c r="C10" s="16" t="s">
        <v>3109</v>
      </c>
      <c r="D10" s="14" t="s">
        <v>31</v>
      </c>
      <c r="E10" s="18" t="s">
        <v>3359</v>
      </c>
      <c r="F10" s="8" t="s">
        <v>1369</v>
      </c>
      <c r="H10" s="8" t="s">
        <v>1369</v>
      </c>
      <c r="J10" s="8" t="s">
        <v>1369</v>
      </c>
      <c r="L10" s="8" t="s">
        <v>1369</v>
      </c>
    </row>
    <row r="11" spans="3:13" x14ac:dyDescent="0.3">
      <c r="C11" s="16" t="s">
        <v>3110</v>
      </c>
      <c r="D11" s="8" t="s">
        <v>2786</v>
      </c>
      <c r="F11" s="8" t="s">
        <v>1370</v>
      </c>
      <c r="H11" s="8" t="s">
        <v>3900</v>
      </c>
      <c r="I11" s="18"/>
      <c r="J11" s="8" t="s">
        <v>4062</v>
      </c>
      <c r="L11" s="8" t="s">
        <v>3291</v>
      </c>
    </row>
    <row r="12" spans="3:13" x14ac:dyDescent="0.3">
      <c r="C12" s="16" t="s">
        <v>19</v>
      </c>
      <c r="D12" s="8" t="s">
        <v>19</v>
      </c>
      <c r="F12" s="8" t="s">
        <v>19</v>
      </c>
      <c r="H12" s="8" t="s">
        <v>19</v>
      </c>
      <c r="J12" s="8" t="s">
        <v>19</v>
      </c>
      <c r="L12" s="8" t="s">
        <v>19</v>
      </c>
    </row>
    <row r="13" spans="3:13" x14ac:dyDescent="0.3">
      <c r="C13" s="16" t="s">
        <v>3090</v>
      </c>
      <c r="D13" s="8" t="s">
        <v>32</v>
      </c>
      <c r="F13" s="8" t="s">
        <v>32</v>
      </c>
      <c r="H13" s="8" t="s">
        <v>32</v>
      </c>
      <c r="J13" s="8" t="s">
        <v>32</v>
      </c>
      <c r="L13" s="8" t="s">
        <v>32</v>
      </c>
    </row>
    <row r="14" spans="3:13" x14ac:dyDescent="0.3">
      <c r="C14" s="16" t="s">
        <v>3111</v>
      </c>
      <c r="D14" s="8" t="s">
        <v>33</v>
      </c>
      <c r="F14" s="8" t="s">
        <v>33</v>
      </c>
      <c r="H14" s="8" t="s">
        <v>33</v>
      </c>
      <c r="J14" s="8" t="s">
        <v>33</v>
      </c>
      <c r="L14" s="8" t="s">
        <v>33</v>
      </c>
    </row>
    <row r="15" spans="3:13" x14ac:dyDescent="0.3">
      <c r="C15" s="16" t="s">
        <v>20</v>
      </c>
      <c r="D15" s="8" t="s">
        <v>20</v>
      </c>
      <c r="F15" s="8" t="s">
        <v>20</v>
      </c>
      <c r="H15" s="8" t="s">
        <v>20</v>
      </c>
      <c r="J15" s="8" t="s">
        <v>20</v>
      </c>
      <c r="L15" s="8" t="s">
        <v>20</v>
      </c>
    </row>
    <row r="16" spans="3:13" x14ac:dyDescent="0.3">
      <c r="C16" s="16" t="s">
        <v>21</v>
      </c>
      <c r="D16" s="8" t="s">
        <v>21</v>
      </c>
      <c r="F16" s="8" t="s">
        <v>21</v>
      </c>
      <c r="H16" s="8" t="s">
        <v>21</v>
      </c>
      <c r="J16" s="8" t="s">
        <v>21</v>
      </c>
      <c r="L16" s="8" t="s">
        <v>21</v>
      </c>
    </row>
    <row r="17" spans="3:13" x14ac:dyDescent="0.3">
      <c r="C17" s="16" t="s">
        <v>3091</v>
      </c>
      <c r="D17" s="8" t="s">
        <v>34</v>
      </c>
      <c r="F17" s="8" t="s">
        <v>34</v>
      </c>
      <c r="H17" s="8" t="s">
        <v>34</v>
      </c>
      <c r="J17" s="8" t="s">
        <v>34</v>
      </c>
      <c r="L17" s="8" t="s">
        <v>34</v>
      </c>
    </row>
    <row r="18" spans="3:13" x14ac:dyDescent="0.3">
      <c r="C18" s="16" t="s">
        <v>3092</v>
      </c>
      <c r="D18" s="8" t="s">
        <v>35</v>
      </c>
      <c r="F18" s="8" t="s">
        <v>35</v>
      </c>
      <c r="H18" s="8" t="s">
        <v>35</v>
      </c>
      <c r="J18" s="8" t="s">
        <v>35</v>
      </c>
      <c r="L18" s="8" t="s">
        <v>35</v>
      </c>
    </row>
    <row r="19" spans="3:13" x14ac:dyDescent="0.3">
      <c r="C19" s="16" t="s">
        <v>3112</v>
      </c>
      <c r="D19" s="14" t="s">
        <v>36</v>
      </c>
      <c r="E19" s="18" t="s">
        <v>3358</v>
      </c>
      <c r="F19" s="14" t="s">
        <v>36</v>
      </c>
      <c r="G19" s="18" t="s">
        <v>3358</v>
      </c>
      <c r="H19" s="8" t="s">
        <v>3299</v>
      </c>
      <c r="I19" s="18"/>
      <c r="J19" s="20" t="s">
        <v>4110</v>
      </c>
      <c r="K19" s="18" t="s">
        <v>3363</v>
      </c>
      <c r="L19" s="8" t="s">
        <v>3400</v>
      </c>
      <c r="M19" s="18" t="s">
        <v>3358</v>
      </c>
    </row>
    <row r="20" spans="3:13" x14ac:dyDescent="0.3">
      <c r="C20" s="16" t="s">
        <v>19</v>
      </c>
      <c r="D20" s="8" t="s">
        <v>19</v>
      </c>
      <c r="F20" s="8" t="s">
        <v>19</v>
      </c>
      <c r="H20" s="8" t="s">
        <v>19</v>
      </c>
      <c r="J20" s="8" t="s">
        <v>19</v>
      </c>
      <c r="L20" s="8" t="s">
        <v>19</v>
      </c>
    </row>
    <row r="21" spans="3:13" x14ac:dyDescent="0.3">
      <c r="C21" s="16" t="s">
        <v>3093</v>
      </c>
      <c r="D21" s="8" t="s">
        <v>37</v>
      </c>
      <c r="F21" s="8" t="s">
        <v>37</v>
      </c>
      <c r="H21" s="8" t="s">
        <v>37</v>
      </c>
      <c r="J21" s="8" t="s">
        <v>37</v>
      </c>
      <c r="L21" s="8" t="s">
        <v>37</v>
      </c>
    </row>
    <row r="22" spans="3:13" x14ac:dyDescent="0.3">
      <c r="C22" s="16" t="s">
        <v>3113</v>
      </c>
      <c r="D22" s="8" t="s">
        <v>2787</v>
      </c>
      <c r="F22" s="8" t="s">
        <v>1371</v>
      </c>
      <c r="H22" s="8" t="s">
        <v>2787</v>
      </c>
      <c r="J22" s="8" t="s">
        <v>2787</v>
      </c>
      <c r="L22" s="8" t="s">
        <v>2787</v>
      </c>
    </row>
    <row r="23" spans="3:13" x14ac:dyDescent="0.3">
      <c r="C23" s="16" t="s">
        <v>19</v>
      </c>
      <c r="D23" s="8" t="s">
        <v>19</v>
      </c>
      <c r="F23" s="8" t="s">
        <v>19</v>
      </c>
      <c r="H23" s="8" t="s">
        <v>19</v>
      </c>
      <c r="J23" s="8" t="s">
        <v>19</v>
      </c>
      <c r="L23" s="8" t="s">
        <v>19</v>
      </c>
    </row>
    <row r="24" spans="3:13" x14ac:dyDescent="0.3">
      <c r="C24" s="16" t="s">
        <v>3094</v>
      </c>
      <c r="D24" s="8" t="s">
        <v>39</v>
      </c>
      <c r="F24" s="8" t="s">
        <v>39</v>
      </c>
      <c r="H24" s="8" t="s">
        <v>39</v>
      </c>
      <c r="J24" s="8" t="s">
        <v>39</v>
      </c>
      <c r="L24" s="8" t="s">
        <v>39</v>
      </c>
    </row>
    <row r="25" spans="3:13" x14ac:dyDescent="0.3">
      <c r="C25" s="16" t="s">
        <v>3114</v>
      </c>
      <c r="D25" s="14" t="s">
        <v>1384</v>
      </c>
      <c r="E25" s="18" t="s">
        <v>3358</v>
      </c>
      <c r="F25" s="14" t="s">
        <v>52</v>
      </c>
      <c r="G25" s="18" t="s">
        <v>3363</v>
      </c>
      <c r="H25" s="14" t="s">
        <v>3951</v>
      </c>
      <c r="I25" s="18" t="s">
        <v>3358</v>
      </c>
      <c r="J25" s="14" t="s">
        <v>52</v>
      </c>
      <c r="K25" s="18" t="s">
        <v>3363</v>
      </c>
      <c r="L25" s="14" t="s">
        <v>1384</v>
      </c>
      <c r="M25" s="18" t="s">
        <v>3358</v>
      </c>
    </row>
    <row r="26" spans="3:13" x14ac:dyDescent="0.3">
      <c r="C26" s="16" t="s">
        <v>3115</v>
      </c>
      <c r="D26" s="14" t="s">
        <v>1377</v>
      </c>
      <c r="E26" s="18" t="s">
        <v>3358</v>
      </c>
      <c r="F26" s="14" t="s">
        <v>53</v>
      </c>
      <c r="G26" s="18" t="s">
        <v>3363</v>
      </c>
      <c r="H26" s="14" t="s">
        <v>3952</v>
      </c>
      <c r="I26" s="18" t="s">
        <v>3358</v>
      </c>
      <c r="J26" s="14" t="s">
        <v>53</v>
      </c>
      <c r="K26" s="18" t="s">
        <v>3363</v>
      </c>
      <c r="L26" s="14" t="s">
        <v>3401</v>
      </c>
      <c r="M26" s="18" t="s">
        <v>3358</v>
      </c>
    </row>
    <row r="27" spans="3:13" x14ac:dyDescent="0.3">
      <c r="C27" s="16" t="s">
        <v>19</v>
      </c>
      <c r="D27" s="8" t="s">
        <v>19</v>
      </c>
      <c r="F27" s="8" t="s">
        <v>19</v>
      </c>
      <c r="H27" s="8" t="s">
        <v>19</v>
      </c>
      <c r="J27" s="8" t="s">
        <v>19</v>
      </c>
      <c r="L27" s="8" t="s">
        <v>19</v>
      </c>
    </row>
    <row r="28" spans="3:13" x14ac:dyDescent="0.3">
      <c r="C28" s="16" t="s">
        <v>3095</v>
      </c>
      <c r="D28" s="8" t="s">
        <v>40</v>
      </c>
      <c r="F28" s="8" t="s">
        <v>40</v>
      </c>
      <c r="H28" s="8" t="s">
        <v>40</v>
      </c>
      <c r="J28" s="8" t="s">
        <v>40</v>
      </c>
      <c r="L28" s="8" t="s">
        <v>40</v>
      </c>
    </row>
    <row r="29" spans="3:13" x14ac:dyDescent="0.3">
      <c r="C29" s="16" t="s">
        <v>3116</v>
      </c>
      <c r="D29" s="14" t="s">
        <v>2788</v>
      </c>
      <c r="E29" s="18" t="s">
        <v>3358</v>
      </c>
      <c r="F29" s="8" t="s">
        <v>41</v>
      </c>
      <c r="H29" s="8" t="s">
        <v>1385</v>
      </c>
      <c r="J29" s="8" t="s">
        <v>41</v>
      </c>
      <c r="L29" s="14" t="s">
        <v>3292</v>
      </c>
      <c r="M29" s="18" t="s">
        <v>3363</v>
      </c>
    </row>
    <row r="30" spans="3:13" x14ac:dyDescent="0.3">
      <c r="C30" s="16" t="s">
        <v>19</v>
      </c>
      <c r="D30" s="8" t="s">
        <v>19</v>
      </c>
      <c r="F30" s="8" t="s">
        <v>19</v>
      </c>
      <c r="H30" s="8" t="s">
        <v>19</v>
      </c>
      <c r="J30" s="8" t="s">
        <v>19</v>
      </c>
      <c r="L30" s="8" t="s">
        <v>19</v>
      </c>
    </row>
    <row r="31" spans="3:13" x14ac:dyDescent="0.3">
      <c r="C31" s="16" t="s">
        <v>3096</v>
      </c>
      <c r="D31" s="8" t="s">
        <v>42</v>
      </c>
      <c r="F31" s="8" t="s">
        <v>42</v>
      </c>
      <c r="H31" s="8" t="s">
        <v>42</v>
      </c>
      <c r="J31" s="8" t="s">
        <v>42</v>
      </c>
      <c r="L31" s="8" t="s">
        <v>42</v>
      </c>
    </row>
    <row r="32" spans="3:13" x14ac:dyDescent="0.3">
      <c r="C32" s="16" t="s">
        <v>3117</v>
      </c>
      <c r="D32" s="8" t="s">
        <v>2789</v>
      </c>
      <c r="F32" s="14" t="s">
        <v>1372</v>
      </c>
      <c r="G32" s="18" t="s">
        <v>3363</v>
      </c>
      <c r="H32" s="14" t="s">
        <v>3049</v>
      </c>
      <c r="I32" s="18" t="s">
        <v>3363</v>
      </c>
      <c r="J32" s="8" t="s">
        <v>4063</v>
      </c>
      <c r="L32" s="8" t="s">
        <v>3293</v>
      </c>
    </row>
    <row r="33" spans="3:13" x14ac:dyDescent="0.3">
      <c r="C33" s="16" t="s">
        <v>20</v>
      </c>
      <c r="D33" s="8" t="s">
        <v>20</v>
      </c>
      <c r="F33" s="8" t="s">
        <v>20</v>
      </c>
      <c r="H33" s="8" t="s">
        <v>20</v>
      </c>
      <c r="J33" s="8" t="s">
        <v>20</v>
      </c>
      <c r="L33" s="8" t="s">
        <v>20</v>
      </c>
    </row>
    <row r="34" spans="3:13" x14ac:dyDescent="0.3">
      <c r="C34" s="16" t="s">
        <v>21</v>
      </c>
      <c r="D34" s="8" t="s">
        <v>21</v>
      </c>
      <c r="F34" s="8" t="s">
        <v>21</v>
      </c>
      <c r="H34" s="8" t="s">
        <v>21</v>
      </c>
      <c r="J34" s="8" t="s">
        <v>21</v>
      </c>
      <c r="L34" s="8" t="s">
        <v>21</v>
      </c>
    </row>
    <row r="35" spans="3:13" x14ac:dyDescent="0.3">
      <c r="C35" s="16" t="s">
        <v>3097</v>
      </c>
      <c r="D35" s="8" t="s">
        <v>43</v>
      </c>
      <c r="F35" s="8" t="s">
        <v>43</v>
      </c>
      <c r="H35" s="8" t="s">
        <v>43</v>
      </c>
      <c r="J35" s="8" t="s">
        <v>43</v>
      </c>
      <c r="L35" s="8" t="s">
        <v>43</v>
      </c>
    </row>
    <row r="36" spans="3:13" x14ac:dyDescent="0.3">
      <c r="C36" s="16" t="s">
        <v>3098</v>
      </c>
      <c r="D36" s="8" t="s">
        <v>44</v>
      </c>
      <c r="F36" s="8" t="s">
        <v>44</v>
      </c>
      <c r="H36" s="8" t="s">
        <v>44</v>
      </c>
      <c r="J36" s="8" t="s">
        <v>44</v>
      </c>
      <c r="L36" s="8" t="s">
        <v>44</v>
      </c>
    </row>
    <row r="37" spans="3:13" x14ac:dyDescent="0.3">
      <c r="C37" s="16" t="s">
        <v>3118</v>
      </c>
      <c r="D37" s="8" t="s">
        <v>45</v>
      </c>
      <c r="F37" s="8" t="s">
        <v>1373</v>
      </c>
      <c r="H37" s="8" t="s">
        <v>3078</v>
      </c>
      <c r="J37" s="8" t="s">
        <v>4064</v>
      </c>
      <c r="L37" s="8" t="s">
        <v>3078</v>
      </c>
    </row>
    <row r="38" spans="3:13" x14ac:dyDescent="0.3">
      <c r="C38" s="16" t="s">
        <v>20</v>
      </c>
      <c r="D38" s="8" t="s">
        <v>20</v>
      </c>
      <c r="F38" s="8" t="s">
        <v>20</v>
      </c>
      <c r="H38" s="8" t="s">
        <v>20</v>
      </c>
      <c r="J38" s="8" t="s">
        <v>20</v>
      </c>
      <c r="L38" s="8" t="s">
        <v>20</v>
      </c>
    </row>
    <row r="39" spans="3:13" x14ac:dyDescent="0.3">
      <c r="C39" s="16" t="s">
        <v>22</v>
      </c>
      <c r="D39" s="8" t="s">
        <v>22</v>
      </c>
      <c r="F39" s="8" t="s">
        <v>22</v>
      </c>
      <c r="H39" s="8" t="s">
        <v>22</v>
      </c>
      <c r="J39" s="8" t="s">
        <v>22</v>
      </c>
      <c r="L39" s="8" t="s">
        <v>22</v>
      </c>
    </row>
    <row r="40" spans="3:13" x14ac:dyDescent="0.3">
      <c r="C40" s="16" t="s">
        <v>23</v>
      </c>
      <c r="D40" s="8" t="s">
        <v>23</v>
      </c>
      <c r="F40" s="8" t="s">
        <v>23</v>
      </c>
      <c r="H40" s="8" t="s">
        <v>23</v>
      </c>
      <c r="J40" s="8" t="s">
        <v>23</v>
      </c>
      <c r="L40" s="8" t="s">
        <v>23</v>
      </c>
    </row>
    <row r="41" spans="3:13" x14ac:dyDescent="0.3">
      <c r="C41" s="16" t="s">
        <v>3099</v>
      </c>
      <c r="D41" s="8" t="s">
        <v>46</v>
      </c>
      <c r="F41" s="8" t="s">
        <v>46</v>
      </c>
      <c r="H41" s="8" t="s">
        <v>46</v>
      </c>
      <c r="J41" s="8" t="s">
        <v>46</v>
      </c>
      <c r="L41" s="8" t="s">
        <v>46</v>
      </c>
    </row>
    <row r="42" spans="3:13" x14ac:dyDescent="0.3">
      <c r="C42" s="16" t="s">
        <v>3087</v>
      </c>
      <c r="D42" s="8" t="s">
        <v>27</v>
      </c>
      <c r="F42" s="8" t="s">
        <v>27</v>
      </c>
      <c r="H42" s="8" t="s">
        <v>27</v>
      </c>
      <c r="J42" s="8" t="s">
        <v>27</v>
      </c>
      <c r="L42" s="8" t="s">
        <v>27</v>
      </c>
    </row>
    <row r="43" spans="3:13" x14ac:dyDescent="0.3">
      <c r="C43" s="16" t="s">
        <v>3088</v>
      </c>
      <c r="D43" s="8" t="s">
        <v>28</v>
      </c>
      <c r="F43" s="8" t="s">
        <v>28</v>
      </c>
      <c r="H43" s="8" t="s">
        <v>28</v>
      </c>
      <c r="J43" s="8" t="s">
        <v>28</v>
      </c>
      <c r="L43" s="8" t="s">
        <v>28</v>
      </c>
    </row>
    <row r="44" spans="3:13" x14ac:dyDescent="0.3">
      <c r="C44" s="16" t="s">
        <v>3119</v>
      </c>
      <c r="D44" s="8" t="s">
        <v>47</v>
      </c>
      <c r="F44" s="8" t="s">
        <v>47</v>
      </c>
      <c r="H44" s="8" t="s">
        <v>47</v>
      </c>
      <c r="J44" s="8" t="s">
        <v>47</v>
      </c>
      <c r="L44" s="14" t="s">
        <v>3403</v>
      </c>
      <c r="M44" s="18" t="s">
        <v>3358</v>
      </c>
    </row>
    <row r="45" spans="3:13" x14ac:dyDescent="0.3">
      <c r="C45" s="16" t="s">
        <v>3120</v>
      </c>
      <c r="D45" s="8" t="s">
        <v>48</v>
      </c>
      <c r="F45" s="8" t="s">
        <v>48</v>
      </c>
      <c r="H45" s="8" t="s">
        <v>48</v>
      </c>
      <c r="J45" s="8" t="s">
        <v>48</v>
      </c>
      <c r="L45" s="14" t="s">
        <v>3402</v>
      </c>
      <c r="M45" s="18" t="s">
        <v>3358</v>
      </c>
    </row>
    <row r="46" spans="3:13" x14ac:dyDescent="0.3">
      <c r="C46" s="16" t="s">
        <v>19</v>
      </c>
      <c r="D46" s="8" t="s">
        <v>19</v>
      </c>
      <c r="F46" s="8" t="s">
        <v>19</v>
      </c>
      <c r="H46" s="8" t="s">
        <v>19</v>
      </c>
      <c r="J46" s="8" t="s">
        <v>19</v>
      </c>
      <c r="L46" s="8" t="s">
        <v>19</v>
      </c>
    </row>
    <row r="47" spans="3:13" x14ac:dyDescent="0.3">
      <c r="C47" s="16" t="s">
        <v>3089</v>
      </c>
      <c r="D47" s="8" t="s">
        <v>30</v>
      </c>
      <c r="F47" s="8" t="s">
        <v>30</v>
      </c>
      <c r="H47" s="8" t="s">
        <v>30</v>
      </c>
      <c r="J47" s="8" t="s">
        <v>30</v>
      </c>
      <c r="L47" s="8" t="s">
        <v>30</v>
      </c>
    </row>
    <row r="48" spans="3:13" x14ac:dyDescent="0.3">
      <c r="C48" s="16" t="s">
        <v>3109</v>
      </c>
      <c r="D48" s="14" t="s">
        <v>31</v>
      </c>
      <c r="E48" s="18" t="s">
        <v>3359</v>
      </c>
      <c r="F48" s="14" t="s">
        <v>31</v>
      </c>
      <c r="G48" s="18" t="s">
        <v>3363</v>
      </c>
      <c r="H48" s="8" t="s">
        <v>1369</v>
      </c>
      <c r="I48" s="18" t="s">
        <v>3359</v>
      </c>
      <c r="J48" s="8" t="s">
        <v>1369</v>
      </c>
      <c r="L48" s="14" t="s">
        <v>31</v>
      </c>
      <c r="M48" s="18" t="s">
        <v>3363</v>
      </c>
    </row>
    <row r="49" spans="3:13" x14ac:dyDescent="0.3">
      <c r="C49" s="16" t="s">
        <v>3121</v>
      </c>
      <c r="D49" s="8" t="s">
        <v>49</v>
      </c>
      <c r="F49" s="14" t="s">
        <v>1383</v>
      </c>
      <c r="G49" s="18" t="s">
        <v>3363</v>
      </c>
      <c r="H49" s="8" t="s">
        <v>3901</v>
      </c>
      <c r="J49" s="8" t="s">
        <v>4065</v>
      </c>
      <c r="L49" s="14" t="s">
        <v>3294</v>
      </c>
      <c r="M49" s="18" t="s">
        <v>3363</v>
      </c>
    </row>
    <row r="50" spans="3:13" x14ac:dyDescent="0.3">
      <c r="C50" s="16" t="s">
        <v>19</v>
      </c>
      <c r="D50" s="8" t="s">
        <v>19</v>
      </c>
      <c r="F50" s="8" t="s">
        <v>19</v>
      </c>
      <c r="H50" s="8" t="s">
        <v>19</v>
      </c>
      <c r="J50" s="8" t="s">
        <v>19</v>
      </c>
      <c r="L50" s="8" t="s">
        <v>19</v>
      </c>
    </row>
    <row r="51" spans="3:13" x14ac:dyDescent="0.3">
      <c r="C51" s="16" t="s">
        <v>3090</v>
      </c>
      <c r="D51" s="8" t="s">
        <v>32</v>
      </c>
      <c r="F51" s="8" t="s">
        <v>32</v>
      </c>
      <c r="H51" s="8" t="s">
        <v>32</v>
      </c>
      <c r="J51" s="8" t="s">
        <v>32</v>
      </c>
      <c r="L51" s="8" t="s">
        <v>32</v>
      </c>
    </row>
    <row r="52" spans="3:13" x14ac:dyDescent="0.3">
      <c r="C52" s="16" t="s">
        <v>3122</v>
      </c>
      <c r="D52" s="8" t="s">
        <v>50</v>
      </c>
      <c r="F52" s="8" t="s">
        <v>50</v>
      </c>
      <c r="H52" s="8" t="s">
        <v>50</v>
      </c>
      <c r="J52" s="8" t="s">
        <v>50</v>
      </c>
      <c r="L52" s="8" t="s">
        <v>50</v>
      </c>
    </row>
    <row r="53" spans="3:13" x14ac:dyDescent="0.3">
      <c r="C53" s="16" t="s">
        <v>20</v>
      </c>
      <c r="D53" s="8" t="s">
        <v>20</v>
      </c>
      <c r="F53" s="8" t="s">
        <v>20</v>
      </c>
      <c r="H53" s="8" t="s">
        <v>20</v>
      </c>
      <c r="J53" s="8" t="s">
        <v>20</v>
      </c>
      <c r="L53" s="8" t="s">
        <v>20</v>
      </c>
    </row>
    <row r="54" spans="3:13" x14ac:dyDescent="0.3">
      <c r="C54" s="16" t="s">
        <v>21</v>
      </c>
      <c r="D54" s="8" t="s">
        <v>21</v>
      </c>
      <c r="F54" s="8" t="s">
        <v>21</v>
      </c>
      <c r="H54" s="8" t="s">
        <v>21</v>
      </c>
      <c r="J54" s="8" t="s">
        <v>21</v>
      </c>
      <c r="L54" s="8" t="s">
        <v>21</v>
      </c>
    </row>
    <row r="55" spans="3:13" x14ac:dyDescent="0.3">
      <c r="C55" s="16" t="s">
        <v>3091</v>
      </c>
      <c r="D55" s="8" t="s">
        <v>34</v>
      </c>
      <c r="F55" s="8" t="s">
        <v>34</v>
      </c>
      <c r="H55" s="8" t="s">
        <v>34</v>
      </c>
      <c r="J55" s="8" t="s">
        <v>34</v>
      </c>
      <c r="L55" s="8" t="s">
        <v>34</v>
      </c>
    </row>
    <row r="56" spans="3:13" x14ac:dyDescent="0.3">
      <c r="C56" s="16" t="s">
        <v>3092</v>
      </c>
      <c r="D56" s="8" t="s">
        <v>35</v>
      </c>
      <c r="F56" s="8" t="s">
        <v>35</v>
      </c>
      <c r="H56" s="8" t="s">
        <v>35</v>
      </c>
      <c r="J56" s="8" t="s">
        <v>35</v>
      </c>
      <c r="L56" s="8" t="s">
        <v>35</v>
      </c>
    </row>
    <row r="57" spans="3:13" x14ac:dyDescent="0.3">
      <c r="C57" s="16" t="s">
        <v>3123</v>
      </c>
      <c r="D57" s="8" t="s">
        <v>36</v>
      </c>
      <c r="F57" s="8" t="s">
        <v>36</v>
      </c>
      <c r="H57" s="8" t="s">
        <v>36</v>
      </c>
      <c r="J57" s="8" t="s">
        <v>36</v>
      </c>
      <c r="K57" s="18"/>
      <c r="L57" s="8" t="s">
        <v>3079</v>
      </c>
      <c r="M57" s="18" t="s">
        <v>3359</v>
      </c>
    </row>
    <row r="58" spans="3:13" x14ac:dyDescent="0.3">
      <c r="C58" s="16" t="s">
        <v>19</v>
      </c>
      <c r="D58" s="8" t="s">
        <v>19</v>
      </c>
      <c r="F58" s="8" t="s">
        <v>19</v>
      </c>
      <c r="H58" s="8" t="s">
        <v>19</v>
      </c>
      <c r="J58" s="8" t="s">
        <v>19</v>
      </c>
      <c r="L58" s="8" t="s">
        <v>19</v>
      </c>
    </row>
    <row r="59" spans="3:13" x14ac:dyDescent="0.3">
      <c r="C59" s="16" t="s">
        <v>3093</v>
      </c>
      <c r="D59" s="8" t="s">
        <v>37</v>
      </c>
      <c r="F59" s="8" t="s">
        <v>37</v>
      </c>
      <c r="H59" s="8" t="s">
        <v>37</v>
      </c>
      <c r="J59" s="8" t="s">
        <v>37</v>
      </c>
      <c r="L59" s="8" t="s">
        <v>37</v>
      </c>
    </row>
    <row r="60" spans="3:13" x14ac:dyDescent="0.3">
      <c r="C60" s="16" t="s">
        <v>3124</v>
      </c>
      <c r="D60" s="8" t="s">
        <v>51</v>
      </c>
      <c r="F60" s="8" t="s">
        <v>51</v>
      </c>
      <c r="H60" s="8" t="s">
        <v>3295</v>
      </c>
      <c r="J60" s="8" t="s">
        <v>3295</v>
      </c>
      <c r="L60" s="8" t="s">
        <v>3295</v>
      </c>
    </row>
    <row r="61" spans="3:13" x14ac:dyDescent="0.3">
      <c r="C61" s="16" t="s">
        <v>19</v>
      </c>
      <c r="D61" s="8" t="s">
        <v>19</v>
      </c>
      <c r="F61" s="8" t="s">
        <v>19</v>
      </c>
      <c r="H61" s="8" t="s">
        <v>19</v>
      </c>
      <c r="J61" s="8" t="s">
        <v>19</v>
      </c>
      <c r="L61" s="8" t="s">
        <v>19</v>
      </c>
    </row>
    <row r="62" spans="3:13" x14ac:dyDescent="0.3">
      <c r="C62" s="16" t="s">
        <v>3094</v>
      </c>
      <c r="D62" s="8" t="s">
        <v>39</v>
      </c>
      <c r="F62" s="8" t="s">
        <v>39</v>
      </c>
      <c r="H62" s="8" t="s">
        <v>39</v>
      </c>
      <c r="J62" s="8" t="s">
        <v>39</v>
      </c>
      <c r="L62" s="8" t="s">
        <v>39</v>
      </c>
    </row>
    <row r="63" spans="3:13" x14ac:dyDescent="0.3">
      <c r="C63" s="16" t="s">
        <v>3125</v>
      </c>
      <c r="D63" s="14" t="s">
        <v>52</v>
      </c>
      <c r="E63" s="18" t="s">
        <v>3360</v>
      </c>
      <c r="F63" s="8" t="s">
        <v>1384</v>
      </c>
      <c r="H63" s="14" t="s">
        <v>3902</v>
      </c>
      <c r="I63" s="18" t="s">
        <v>3359</v>
      </c>
      <c r="J63" s="14" t="s">
        <v>3990</v>
      </c>
      <c r="K63" s="18" t="s">
        <v>3360</v>
      </c>
      <c r="L63" s="14" t="s">
        <v>52</v>
      </c>
      <c r="M63" s="18" t="s">
        <v>3360</v>
      </c>
    </row>
    <row r="64" spans="3:13" x14ac:dyDescent="0.3">
      <c r="C64" s="16" t="s">
        <v>3126</v>
      </c>
      <c r="D64" s="14" t="s">
        <v>53</v>
      </c>
      <c r="E64" s="18" t="s">
        <v>3360</v>
      </c>
      <c r="F64" s="8" t="s">
        <v>53</v>
      </c>
      <c r="H64" s="8" t="s">
        <v>53</v>
      </c>
      <c r="J64" s="14" t="s">
        <v>3051</v>
      </c>
      <c r="K64" s="18" t="s">
        <v>3360</v>
      </c>
      <c r="L64" s="8" t="s">
        <v>53</v>
      </c>
      <c r="M64" s="18"/>
    </row>
    <row r="65" spans="3:12" x14ac:dyDescent="0.3">
      <c r="C65" s="16" t="s">
        <v>19</v>
      </c>
      <c r="D65" s="8" t="s">
        <v>19</v>
      </c>
      <c r="F65" s="8" t="s">
        <v>19</v>
      </c>
      <c r="H65" s="8" t="s">
        <v>19</v>
      </c>
      <c r="J65" s="8" t="s">
        <v>19</v>
      </c>
      <c r="L65" s="8" t="s">
        <v>19</v>
      </c>
    </row>
    <row r="66" spans="3:12" x14ac:dyDescent="0.3">
      <c r="C66" s="16" t="s">
        <v>3095</v>
      </c>
      <c r="D66" s="8" t="s">
        <v>40</v>
      </c>
      <c r="F66" s="8" t="s">
        <v>40</v>
      </c>
      <c r="H66" s="8" t="s">
        <v>40</v>
      </c>
      <c r="J66" s="8" t="s">
        <v>40</v>
      </c>
      <c r="L66" s="8" t="s">
        <v>40</v>
      </c>
    </row>
    <row r="67" spans="3:12" x14ac:dyDescent="0.3">
      <c r="C67" s="16" t="s">
        <v>3116</v>
      </c>
      <c r="D67" s="8" t="s">
        <v>41</v>
      </c>
      <c r="F67" s="8" t="s">
        <v>1385</v>
      </c>
      <c r="H67" s="8" t="s">
        <v>41</v>
      </c>
      <c r="J67" s="8" t="s">
        <v>1385</v>
      </c>
      <c r="L67" s="8" t="s">
        <v>1385</v>
      </c>
    </row>
    <row r="68" spans="3:12" x14ac:dyDescent="0.3">
      <c r="C68" s="16" t="s">
        <v>19</v>
      </c>
      <c r="D68" s="8" t="s">
        <v>19</v>
      </c>
      <c r="F68" s="8" t="s">
        <v>19</v>
      </c>
      <c r="H68" s="8" t="s">
        <v>19</v>
      </c>
      <c r="J68" s="8" t="s">
        <v>19</v>
      </c>
      <c r="L68" s="8" t="s">
        <v>19</v>
      </c>
    </row>
    <row r="69" spans="3:12" x14ac:dyDescent="0.3">
      <c r="C69" s="16" t="s">
        <v>3096</v>
      </c>
      <c r="D69" s="8" t="s">
        <v>42</v>
      </c>
      <c r="F69" s="8" t="s">
        <v>42</v>
      </c>
      <c r="H69" s="8" t="s">
        <v>42</v>
      </c>
      <c r="J69" s="8" t="s">
        <v>42</v>
      </c>
      <c r="L69" s="8" t="s">
        <v>42</v>
      </c>
    </row>
    <row r="70" spans="3:12" x14ac:dyDescent="0.3">
      <c r="C70" s="16" t="s">
        <v>3127</v>
      </c>
      <c r="D70" s="8" t="s">
        <v>54</v>
      </c>
      <c r="F70" s="8" t="s">
        <v>54</v>
      </c>
      <c r="H70" s="8" t="s">
        <v>3296</v>
      </c>
      <c r="I70" s="18" t="s">
        <v>3359</v>
      </c>
      <c r="J70" s="8" t="s">
        <v>4066</v>
      </c>
      <c r="L70" s="8" t="s">
        <v>3296</v>
      </c>
    </row>
    <row r="71" spans="3:12" x14ac:dyDescent="0.3">
      <c r="C71" s="16" t="s">
        <v>20</v>
      </c>
      <c r="D71" s="8" t="s">
        <v>20</v>
      </c>
      <c r="F71" s="8" t="s">
        <v>20</v>
      </c>
      <c r="H71" s="8" t="s">
        <v>20</v>
      </c>
      <c r="J71" s="8" t="s">
        <v>20</v>
      </c>
      <c r="L71" s="8" t="s">
        <v>20</v>
      </c>
    </row>
    <row r="72" spans="3:12" x14ac:dyDescent="0.3">
      <c r="C72" s="16" t="s">
        <v>21</v>
      </c>
      <c r="D72" s="8" t="s">
        <v>21</v>
      </c>
      <c r="F72" s="8" t="s">
        <v>21</v>
      </c>
      <c r="H72" s="8" t="s">
        <v>21</v>
      </c>
      <c r="J72" s="8" t="s">
        <v>21</v>
      </c>
      <c r="L72" s="8" t="s">
        <v>21</v>
      </c>
    </row>
    <row r="73" spans="3:12" x14ac:dyDescent="0.3">
      <c r="C73" s="16" t="s">
        <v>3097</v>
      </c>
      <c r="D73" s="8" t="s">
        <v>43</v>
      </c>
      <c r="F73" s="8" t="s">
        <v>43</v>
      </c>
      <c r="H73" s="8" t="s">
        <v>43</v>
      </c>
      <c r="J73" s="8" t="s">
        <v>43</v>
      </c>
      <c r="L73" s="8" t="s">
        <v>43</v>
      </c>
    </row>
    <row r="74" spans="3:12" x14ac:dyDescent="0.3">
      <c r="C74" s="16" t="s">
        <v>3098</v>
      </c>
      <c r="D74" s="8" t="s">
        <v>44</v>
      </c>
      <c r="F74" s="8" t="s">
        <v>44</v>
      </c>
      <c r="H74" s="8" t="s">
        <v>44</v>
      </c>
      <c r="J74" s="8" t="s">
        <v>44</v>
      </c>
      <c r="L74" s="8" t="s">
        <v>44</v>
      </c>
    </row>
    <row r="75" spans="3:12" x14ac:dyDescent="0.3">
      <c r="C75" s="16" t="s">
        <v>3128</v>
      </c>
      <c r="D75" s="8" t="s">
        <v>55</v>
      </c>
      <c r="F75" s="8" t="s">
        <v>55</v>
      </c>
      <c r="H75" s="8" t="s">
        <v>3081</v>
      </c>
      <c r="J75" s="8" t="s">
        <v>3081</v>
      </c>
      <c r="L75" s="8" t="s">
        <v>3081</v>
      </c>
    </row>
    <row r="76" spans="3:12" x14ac:dyDescent="0.3">
      <c r="C76" s="16" t="s">
        <v>20</v>
      </c>
      <c r="D76" s="8" t="s">
        <v>20</v>
      </c>
      <c r="F76" s="8" t="s">
        <v>20</v>
      </c>
      <c r="H76" s="8" t="s">
        <v>20</v>
      </c>
      <c r="J76" s="8" t="s">
        <v>20</v>
      </c>
      <c r="L76" s="8" t="s">
        <v>20</v>
      </c>
    </row>
    <row r="77" spans="3:12" x14ac:dyDescent="0.3">
      <c r="C77" s="16" t="s">
        <v>22</v>
      </c>
      <c r="D77" s="8" t="s">
        <v>22</v>
      </c>
      <c r="F77" s="8" t="s">
        <v>22</v>
      </c>
      <c r="H77" s="8" t="s">
        <v>22</v>
      </c>
      <c r="J77" s="8" t="s">
        <v>22</v>
      </c>
      <c r="L77" s="8" t="s">
        <v>22</v>
      </c>
    </row>
    <row r="78" spans="3:12" x14ac:dyDescent="0.3">
      <c r="C78" s="16" t="s">
        <v>23</v>
      </c>
      <c r="D78" s="8" t="s">
        <v>23</v>
      </c>
      <c r="F78" s="8" t="s">
        <v>23</v>
      </c>
      <c r="H78" s="8" t="s">
        <v>23</v>
      </c>
      <c r="J78" s="8" t="s">
        <v>23</v>
      </c>
      <c r="L78" s="8" t="s">
        <v>23</v>
      </c>
    </row>
    <row r="79" spans="3:12" x14ac:dyDescent="0.3">
      <c r="C79" s="16" t="s">
        <v>3100</v>
      </c>
      <c r="D79" s="8" t="s">
        <v>56</v>
      </c>
      <c r="F79" s="20" t="s">
        <v>3464</v>
      </c>
      <c r="H79" s="8" t="s">
        <v>56</v>
      </c>
      <c r="J79" s="8" t="s">
        <v>56</v>
      </c>
      <c r="L79" s="8" t="s">
        <v>56</v>
      </c>
    </row>
    <row r="80" spans="3:12" x14ac:dyDescent="0.3">
      <c r="C80" s="16" t="s">
        <v>3087</v>
      </c>
      <c r="D80" s="8" t="s">
        <v>27</v>
      </c>
      <c r="F80" s="8" t="s">
        <v>27</v>
      </c>
      <c r="H80" s="8" t="s">
        <v>27</v>
      </c>
      <c r="J80" s="8" t="s">
        <v>27</v>
      </c>
      <c r="L80" s="8" t="s">
        <v>27</v>
      </c>
    </row>
    <row r="81" spans="3:13" x14ac:dyDescent="0.3">
      <c r="C81" s="16" t="s">
        <v>3088</v>
      </c>
      <c r="D81" s="8" t="s">
        <v>28</v>
      </c>
      <c r="F81" s="8" t="s">
        <v>28</v>
      </c>
      <c r="H81" s="8" t="s">
        <v>28</v>
      </c>
      <c r="J81" s="8" t="s">
        <v>28</v>
      </c>
      <c r="L81" s="8" t="s">
        <v>28</v>
      </c>
    </row>
    <row r="82" spans="3:13" x14ac:dyDescent="0.3">
      <c r="C82" s="16" t="s">
        <v>3107</v>
      </c>
      <c r="D82" s="8" t="s">
        <v>29</v>
      </c>
      <c r="F82" s="8" t="s">
        <v>29</v>
      </c>
      <c r="H82" s="8" t="s">
        <v>29</v>
      </c>
      <c r="J82" s="8" t="s">
        <v>29</v>
      </c>
      <c r="L82" s="8" t="s">
        <v>29</v>
      </c>
    </row>
    <row r="83" spans="3:13" x14ac:dyDescent="0.3">
      <c r="C83" s="16" t="s">
        <v>3129</v>
      </c>
      <c r="D83" s="8" t="s">
        <v>2790</v>
      </c>
      <c r="F83" s="8" t="s">
        <v>1380</v>
      </c>
      <c r="H83" s="14" t="s">
        <v>3953</v>
      </c>
      <c r="I83" s="18" t="s">
        <v>3358</v>
      </c>
      <c r="J83" s="8" t="s">
        <v>4067</v>
      </c>
      <c r="L83" s="8" t="s">
        <v>3297</v>
      </c>
    </row>
    <row r="84" spans="3:13" x14ac:dyDescent="0.3">
      <c r="C84" s="16" t="s">
        <v>19</v>
      </c>
      <c r="D84" s="8" t="s">
        <v>19</v>
      </c>
      <c r="F84" s="8" t="s">
        <v>19</v>
      </c>
      <c r="H84" s="8" t="s">
        <v>19</v>
      </c>
      <c r="J84" s="8" t="s">
        <v>19</v>
      </c>
      <c r="L84" s="8" t="s">
        <v>19</v>
      </c>
    </row>
    <row r="85" spans="3:13" x14ac:dyDescent="0.3">
      <c r="C85" s="16" t="s">
        <v>3089</v>
      </c>
      <c r="D85" s="8" t="s">
        <v>30</v>
      </c>
      <c r="F85" s="8" t="s">
        <v>30</v>
      </c>
      <c r="H85" s="8" t="s">
        <v>30</v>
      </c>
      <c r="J85" s="8" t="s">
        <v>30</v>
      </c>
      <c r="L85" s="8" t="s">
        <v>30</v>
      </c>
    </row>
    <row r="86" spans="3:13" x14ac:dyDescent="0.3">
      <c r="C86" s="16" t="s">
        <v>3109</v>
      </c>
      <c r="D86" s="8" t="s">
        <v>1369</v>
      </c>
      <c r="F86" s="8" t="s">
        <v>1369</v>
      </c>
      <c r="H86" s="8" t="s">
        <v>1369</v>
      </c>
      <c r="I86" s="18" t="s">
        <v>3359</v>
      </c>
      <c r="J86" s="8" t="s">
        <v>1369</v>
      </c>
      <c r="L86" s="8" t="s">
        <v>1369</v>
      </c>
    </row>
    <row r="87" spans="3:13" x14ac:dyDescent="0.3">
      <c r="C87" s="16" t="s">
        <v>3130</v>
      </c>
      <c r="D87" s="8" t="s">
        <v>2791</v>
      </c>
      <c r="F87" s="8" t="s">
        <v>1381</v>
      </c>
      <c r="H87" s="14" t="s">
        <v>3903</v>
      </c>
      <c r="I87" s="18" t="s">
        <v>3358</v>
      </c>
      <c r="J87" s="8" t="s">
        <v>4068</v>
      </c>
      <c r="L87" s="8" t="s">
        <v>2791</v>
      </c>
    </row>
    <row r="88" spans="3:13" x14ac:dyDescent="0.3">
      <c r="C88" s="16" t="s">
        <v>19</v>
      </c>
      <c r="D88" s="8" t="s">
        <v>19</v>
      </c>
      <c r="F88" s="8" t="s">
        <v>19</v>
      </c>
      <c r="H88" s="8" t="s">
        <v>19</v>
      </c>
      <c r="J88" s="8" t="s">
        <v>19</v>
      </c>
      <c r="L88" s="8" t="s">
        <v>19</v>
      </c>
    </row>
    <row r="89" spans="3:13" x14ac:dyDescent="0.3">
      <c r="C89" s="16" t="s">
        <v>3090</v>
      </c>
      <c r="D89" s="8" t="s">
        <v>32</v>
      </c>
      <c r="F89" s="8" t="s">
        <v>32</v>
      </c>
      <c r="H89" s="8" t="s">
        <v>32</v>
      </c>
      <c r="J89" s="8" t="s">
        <v>32</v>
      </c>
      <c r="L89" s="8" t="s">
        <v>32</v>
      </c>
    </row>
    <row r="90" spans="3:13" x14ac:dyDescent="0.3">
      <c r="C90" s="16" t="s">
        <v>3111</v>
      </c>
      <c r="D90" s="8" t="s">
        <v>33</v>
      </c>
      <c r="F90" s="8" t="s">
        <v>33</v>
      </c>
      <c r="H90" s="8" t="s">
        <v>33</v>
      </c>
      <c r="J90" s="8" t="s">
        <v>33</v>
      </c>
      <c r="L90" s="8" t="s">
        <v>33</v>
      </c>
    </row>
    <row r="91" spans="3:13" x14ac:dyDescent="0.3">
      <c r="C91" s="16" t="s">
        <v>20</v>
      </c>
      <c r="D91" s="8" t="s">
        <v>20</v>
      </c>
      <c r="F91" s="8" t="s">
        <v>20</v>
      </c>
      <c r="H91" s="8" t="s">
        <v>20</v>
      </c>
      <c r="J91" s="8" t="s">
        <v>20</v>
      </c>
      <c r="L91" s="8" t="s">
        <v>20</v>
      </c>
    </row>
    <row r="92" spans="3:13" x14ac:dyDescent="0.3">
      <c r="C92" s="16" t="s">
        <v>21</v>
      </c>
      <c r="D92" s="8" t="s">
        <v>21</v>
      </c>
      <c r="F92" s="8" t="s">
        <v>21</v>
      </c>
      <c r="H92" s="8" t="s">
        <v>21</v>
      </c>
      <c r="J92" s="8" t="s">
        <v>21</v>
      </c>
      <c r="L92" s="8" t="s">
        <v>21</v>
      </c>
    </row>
    <row r="93" spans="3:13" x14ac:dyDescent="0.3">
      <c r="C93" s="16" t="s">
        <v>3091</v>
      </c>
      <c r="D93" s="8" t="s">
        <v>34</v>
      </c>
      <c r="F93" s="8" t="s">
        <v>34</v>
      </c>
      <c r="H93" s="8" t="s">
        <v>34</v>
      </c>
      <c r="J93" s="8" t="s">
        <v>34</v>
      </c>
      <c r="L93" s="8" t="s">
        <v>34</v>
      </c>
    </row>
    <row r="94" spans="3:13" x14ac:dyDescent="0.3">
      <c r="C94" s="16" t="s">
        <v>3092</v>
      </c>
      <c r="D94" s="8" t="s">
        <v>35</v>
      </c>
      <c r="F94" s="8" t="s">
        <v>35</v>
      </c>
      <c r="H94" s="8" t="s">
        <v>35</v>
      </c>
      <c r="J94" s="8" t="s">
        <v>35</v>
      </c>
      <c r="L94" s="8" t="s">
        <v>35</v>
      </c>
    </row>
    <row r="95" spans="3:13" x14ac:dyDescent="0.3">
      <c r="C95" s="16" t="s">
        <v>3123</v>
      </c>
      <c r="D95" s="8" t="s">
        <v>36</v>
      </c>
      <c r="F95" s="8" t="s">
        <v>36</v>
      </c>
      <c r="H95" s="8" t="s">
        <v>36</v>
      </c>
      <c r="J95" s="8" t="s">
        <v>36</v>
      </c>
      <c r="K95" s="18"/>
      <c r="L95" s="8" t="s">
        <v>3079</v>
      </c>
      <c r="M95" s="18" t="s">
        <v>3359</v>
      </c>
    </row>
    <row r="96" spans="3:13" x14ac:dyDescent="0.3">
      <c r="C96" s="16" t="s">
        <v>19</v>
      </c>
      <c r="D96" s="8" t="s">
        <v>19</v>
      </c>
      <c r="F96" s="8" t="s">
        <v>19</v>
      </c>
      <c r="H96" s="8" t="s">
        <v>19</v>
      </c>
      <c r="J96" s="8" t="s">
        <v>19</v>
      </c>
      <c r="L96" s="8" t="s">
        <v>19</v>
      </c>
    </row>
    <row r="97" spans="3:13" x14ac:dyDescent="0.3">
      <c r="C97" s="16" t="s">
        <v>3093</v>
      </c>
      <c r="D97" s="8" t="s">
        <v>37</v>
      </c>
      <c r="F97" s="8" t="s">
        <v>37</v>
      </c>
      <c r="H97" s="8" t="s">
        <v>37</v>
      </c>
      <c r="J97" s="8" t="s">
        <v>37</v>
      </c>
      <c r="L97" s="8" t="s">
        <v>37</v>
      </c>
    </row>
    <row r="98" spans="3:13" x14ac:dyDescent="0.3">
      <c r="C98" s="16" t="s">
        <v>3131</v>
      </c>
      <c r="D98" s="8" t="s">
        <v>57</v>
      </c>
      <c r="F98" s="8" t="s">
        <v>57</v>
      </c>
      <c r="H98" s="8" t="s">
        <v>3077</v>
      </c>
      <c r="J98" s="8" t="s">
        <v>3077</v>
      </c>
      <c r="L98" s="8" t="s">
        <v>3077</v>
      </c>
    </row>
    <row r="99" spans="3:13" x14ac:dyDescent="0.3">
      <c r="C99" s="16" t="s">
        <v>19</v>
      </c>
      <c r="D99" s="8" t="s">
        <v>19</v>
      </c>
      <c r="F99" s="8" t="s">
        <v>19</v>
      </c>
      <c r="H99" s="8" t="s">
        <v>19</v>
      </c>
      <c r="J99" s="8" t="s">
        <v>19</v>
      </c>
      <c r="L99" s="8" t="s">
        <v>19</v>
      </c>
    </row>
    <row r="100" spans="3:13" x14ac:dyDescent="0.3">
      <c r="C100" s="16" t="s">
        <v>3094</v>
      </c>
      <c r="D100" s="8" t="s">
        <v>39</v>
      </c>
      <c r="F100" s="8" t="s">
        <v>39</v>
      </c>
      <c r="H100" s="8" t="s">
        <v>39</v>
      </c>
      <c r="J100" s="8" t="s">
        <v>39</v>
      </c>
      <c r="L100" s="8" t="s">
        <v>39</v>
      </c>
    </row>
    <row r="101" spans="3:13" x14ac:dyDescent="0.3">
      <c r="C101" s="16" t="s">
        <v>3114</v>
      </c>
      <c r="D101" s="14" t="s">
        <v>52</v>
      </c>
      <c r="E101" s="18" t="s">
        <v>3360</v>
      </c>
      <c r="F101" s="14" t="s">
        <v>52</v>
      </c>
      <c r="G101" s="18" t="s">
        <v>3360</v>
      </c>
      <c r="H101" s="14" t="s">
        <v>52</v>
      </c>
      <c r="I101" s="18" t="s">
        <v>3360</v>
      </c>
      <c r="J101" s="14" t="s">
        <v>4113</v>
      </c>
      <c r="K101" s="18" t="s">
        <v>3359</v>
      </c>
      <c r="L101" s="14" t="s">
        <v>3404</v>
      </c>
      <c r="M101" s="18" t="s">
        <v>3360</v>
      </c>
    </row>
    <row r="102" spans="3:13" x14ac:dyDescent="0.3">
      <c r="C102" s="16" t="s">
        <v>3115</v>
      </c>
      <c r="D102" s="14" t="s">
        <v>53</v>
      </c>
      <c r="E102" s="18" t="s">
        <v>3360</v>
      </c>
      <c r="F102" s="14" t="s">
        <v>53</v>
      </c>
      <c r="G102" s="18" t="s">
        <v>3360</v>
      </c>
      <c r="H102" s="14" t="s">
        <v>53</v>
      </c>
      <c r="I102" s="18" t="s">
        <v>3360</v>
      </c>
      <c r="J102" s="14" t="s">
        <v>4114</v>
      </c>
      <c r="K102" s="18" t="s">
        <v>4112</v>
      </c>
      <c r="L102" s="14" t="s">
        <v>53</v>
      </c>
      <c r="M102" s="18" t="s">
        <v>3360</v>
      </c>
    </row>
    <row r="103" spans="3:13" x14ac:dyDescent="0.3">
      <c r="C103" s="16" t="s">
        <v>19</v>
      </c>
      <c r="D103" s="8" t="s">
        <v>19</v>
      </c>
      <c r="F103" s="8" t="s">
        <v>19</v>
      </c>
      <c r="H103" s="8" t="s">
        <v>19</v>
      </c>
      <c r="J103" s="8" t="s">
        <v>19</v>
      </c>
      <c r="L103" s="8" t="s">
        <v>19</v>
      </c>
    </row>
    <row r="104" spans="3:13" x14ac:dyDescent="0.3">
      <c r="C104" s="16" t="s">
        <v>3095</v>
      </c>
      <c r="D104" s="8" t="s">
        <v>40</v>
      </c>
      <c r="F104" s="8" t="s">
        <v>40</v>
      </c>
      <c r="H104" s="8" t="s">
        <v>40</v>
      </c>
      <c r="J104" s="8" t="s">
        <v>40</v>
      </c>
      <c r="L104" s="8" t="s">
        <v>40</v>
      </c>
    </row>
    <row r="105" spans="3:13" x14ac:dyDescent="0.3">
      <c r="C105" s="16" t="s">
        <v>3116</v>
      </c>
      <c r="D105" s="8" t="s">
        <v>41</v>
      </c>
      <c r="F105" s="8" t="s">
        <v>41</v>
      </c>
      <c r="H105" s="14" t="s">
        <v>3904</v>
      </c>
      <c r="I105" s="18" t="s">
        <v>3358</v>
      </c>
      <c r="J105" s="8" t="s">
        <v>1385</v>
      </c>
      <c r="L105" s="8" t="s">
        <v>1385</v>
      </c>
    </row>
    <row r="106" spans="3:13" x14ac:dyDescent="0.3">
      <c r="C106" s="16" t="s">
        <v>19</v>
      </c>
      <c r="D106" s="8" t="s">
        <v>19</v>
      </c>
      <c r="F106" s="8" t="s">
        <v>19</v>
      </c>
      <c r="H106" s="8" t="s">
        <v>19</v>
      </c>
      <c r="J106" s="8" t="s">
        <v>19</v>
      </c>
      <c r="L106" s="8" t="s">
        <v>19</v>
      </c>
    </row>
    <row r="107" spans="3:13" x14ac:dyDescent="0.3">
      <c r="C107" s="16" t="s">
        <v>3096</v>
      </c>
      <c r="D107" s="8" t="s">
        <v>42</v>
      </c>
      <c r="F107" s="8" t="s">
        <v>42</v>
      </c>
      <c r="H107" s="8" t="s">
        <v>42</v>
      </c>
      <c r="J107" s="8" t="s">
        <v>42</v>
      </c>
      <c r="L107" s="8" t="s">
        <v>42</v>
      </c>
    </row>
    <row r="108" spans="3:13" x14ac:dyDescent="0.3">
      <c r="C108" s="16" t="s">
        <v>3137</v>
      </c>
      <c r="D108" s="14" t="s">
        <v>2792</v>
      </c>
      <c r="E108" s="18" t="s">
        <v>3358</v>
      </c>
      <c r="F108" s="8" t="s">
        <v>1382</v>
      </c>
      <c r="H108" s="8" t="s">
        <v>3905</v>
      </c>
      <c r="J108" s="14" t="s">
        <v>2792</v>
      </c>
      <c r="K108" s="18" t="s">
        <v>3358</v>
      </c>
      <c r="L108" s="14" t="s">
        <v>2792</v>
      </c>
      <c r="M108" s="18" t="s">
        <v>3363</v>
      </c>
    </row>
    <row r="109" spans="3:13" x14ac:dyDescent="0.3">
      <c r="C109" s="16" t="s">
        <v>20</v>
      </c>
      <c r="D109" s="8" t="s">
        <v>20</v>
      </c>
      <c r="F109" s="8" t="s">
        <v>20</v>
      </c>
      <c r="H109" s="8" t="s">
        <v>20</v>
      </c>
      <c r="J109" s="8" t="s">
        <v>20</v>
      </c>
      <c r="L109" s="8" t="s">
        <v>20</v>
      </c>
    </row>
    <row r="110" spans="3:13" x14ac:dyDescent="0.3">
      <c r="C110" s="16" t="s">
        <v>21</v>
      </c>
      <c r="D110" s="8" t="s">
        <v>21</v>
      </c>
      <c r="F110" s="8" t="s">
        <v>21</v>
      </c>
      <c r="H110" s="8" t="s">
        <v>21</v>
      </c>
      <c r="J110" s="8" t="s">
        <v>21</v>
      </c>
      <c r="L110" s="8" t="s">
        <v>21</v>
      </c>
    </row>
    <row r="111" spans="3:13" x14ac:dyDescent="0.3">
      <c r="C111" s="16" t="s">
        <v>3097</v>
      </c>
      <c r="D111" s="8" t="s">
        <v>43</v>
      </c>
      <c r="F111" s="8" t="s">
        <v>43</v>
      </c>
      <c r="H111" s="8" t="s">
        <v>43</v>
      </c>
      <c r="J111" s="8" t="s">
        <v>43</v>
      </c>
      <c r="L111" s="8" t="s">
        <v>43</v>
      </c>
    </row>
    <row r="112" spans="3:13" x14ac:dyDescent="0.3">
      <c r="C112" s="16" t="s">
        <v>3098</v>
      </c>
      <c r="D112" s="8" t="s">
        <v>44</v>
      </c>
      <c r="F112" s="8" t="s">
        <v>44</v>
      </c>
      <c r="H112" s="8" t="s">
        <v>44</v>
      </c>
      <c r="J112" s="8" t="s">
        <v>44</v>
      </c>
      <c r="L112" s="8" t="s">
        <v>44</v>
      </c>
    </row>
    <row r="113" spans="3:13" x14ac:dyDescent="0.3">
      <c r="C113" s="16" t="s">
        <v>3132</v>
      </c>
      <c r="D113" s="8" t="s">
        <v>59</v>
      </c>
      <c r="F113" s="8" t="s">
        <v>59</v>
      </c>
      <c r="H113" s="8" t="s">
        <v>3083</v>
      </c>
      <c r="J113" s="8" t="s">
        <v>3083</v>
      </c>
      <c r="L113" s="8" t="s">
        <v>3083</v>
      </c>
    </row>
    <row r="114" spans="3:13" x14ac:dyDescent="0.3">
      <c r="C114" s="16" t="s">
        <v>20</v>
      </c>
      <c r="D114" s="8" t="s">
        <v>20</v>
      </c>
      <c r="F114" s="8" t="s">
        <v>20</v>
      </c>
      <c r="H114" s="8" t="s">
        <v>20</v>
      </c>
      <c r="J114" s="8" t="s">
        <v>20</v>
      </c>
      <c r="L114" s="8" t="s">
        <v>20</v>
      </c>
    </row>
    <row r="115" spans="3:13" x14ac:dyDescent="0.3">
      <c r="C115" s="16" t="s">
        <v>22</v>
      </c>
      <c r="D115" s="8" t="s">
        <v>22</v>
      </c>
      <c r="F115" s="8" t="s">
        <v>22</v>
      </c>
      <c r="H115" s="8" t="s">
        <v>22</v>
      </c>
      <c r="J115" s="8" t="s">
        <v>22</v>
      </c>
      <c r="L115" s="8" t="s">
        <v>22</v>
      </c>
    </row>
    <row r="116" spans="3:13" x14ac:dyDescent="0.3">
      <c r="C116" s="16" t="s">
        <v>23</v>
      </c>
      <c r="D116" s="8" t="s">
        <v>23</v>
      </c>
      <c r="F116" s="8" t="s">
        <v>23</v>
      </c>
      <c r="H116" s="8" t="s">
        <v>23</v>
      </c>
      <c r="J116" s="8" t="s">
        <v>23</v>
      </c>
      <c r="L116" s="8" t="s">
        <v>23</v>
      </c>
    </row>
    <row r="117" spans="3:13" x14ac:dyDescent="0.3">
      <c r="C117" s="16" t="s">
        <v>3101</v>
      </c>
      <c r="D117" s="8" t="s">
        <v>60</v>
      </c>
      <c r="F117" s="8" t="s">
        <v>60</v>
      </c>
      <c r="H117" s="8" t="s">
        <v>60</v>
      </c>
      <c r="J117" s="8" t="s">
        <v>60</v>
      </c>
      <c r="L117" s="8" t="s">
        <v>60</v>
      </c>
    </row>
    <row r="118" spans="3:13" x14ac:dyDescent="0.3">
      <c r="C118" s="16" t="s">
        <v>3087</v>
      </c>
      <c r="D118" s="8" t="s">
        <v>27</v>
      </c>
      <c r="F118" s="8" t="s">
        <v>27</v>
      </c>
      <c r="H118" s="8" t="s">
        <v>27</v>
      </c>
      <c r="J118" s="8" t="s">
        <v>27</v>
      </c>
      <c r="L118" s="8" t="s">
        <v>27</v>
      </c>
    </row>
    <row r="119" spans="3:13" x14ac:dyDescent="0.3">
      <c r="C119" s="16" t="s">
        <v>3088</v>
      </c>
      <c r="D119" s="8" t="s">
        <v>28</v>
      </c>
      <c r="F119" s="8" t="s">
        <v>28</v>
      </c>
      <c r="H119" s="8" t="s">
        <v>28</v>
      </c>
      <c r="J119" s="8" t="s">
        <v>28</v>
      </c>
      <c r="L119" s="8" t="s">
        <v>28</v>
      </c>
    </row>
    <row r="120" spans="3:13" x14ac:dyDescent="0.3">
      <c r="C120" s="16" t="s">
        <v>3107</v>
      </c>
      <c r="D120" s="8" t="s">
        <v>29</v>
      </c>
      <c r="F120" s="8" t="s">
        <v>29</v>
      </c>
      <c r="H120" s="14" t="s">
        <v>47</v>
      </c>
      <c r="I120" s="18" t="s">
        <v>3360</v>
      </c>
      <c r="J120" s="8" t="s">
        <v>29</v>
      </c>
      <c r="L120" s="8" t="s">
        <v>29</v>
      </c>
    </row>
    <row r="121" spans="3:13" x14ac:dyDescent="0.3">
      <c r="C121" s="16" t="s">
        <v>3129</v>
      </c>
      <c r="D121" s="8" t="s">
        <v>2793</v>
      </c>
      <c r="F121" s="8" t="s">
        <v>1374</v>
      </c>
      <c r="H121" s="14" t="s">
        <v>48</v>
      </c>
      <c r="I121" s="18" t="s">
        <v>3360</v>
      </c>
      <c r="J121" s="8" t="s">
        <v>4069</v>
      </c>
      <c r="K121" s="18"/>
      <c r="L121" s="8" t="s">
        <v>3298</v>
      </c>
      <c r="M121" s="18"/>
    </row>
    <row r="122" spans="3:13" x14ac:dyDescent="0.3">
      <c r="C122" s="16" t="s">
        <v>19</v>
      </c>
      <c r="D122" s="8" t="s">
        <v>19</v>
      </c>
      <c r="F122" s="8" t="s">
        <v>19</v>
      </c>
      <c r="H122" s="8" t="s">
        <v>19</v>
      </c>
      <c r="J122" s="8" t="s">
        <v>19</v>
      </c>
      <c r="L122" s="8" t="s">
        <v>19</v>
      </c>
    </row>
    <row r="123" spans="3:13" x14ac:dyDescent="0.3">
      <c r="C123" s="16" t="s">
        <v>3089</v>
      </c>
      <c r="D123" s="8" t="s">
        <v>30</v>
      </c>
      <c r="F123" s="8" t="s">
        <v>30</v>
      </c>
      <c r="H123" s="8" t="s">
        <v>30</v>
      </c>
      <c r="J123" s="8" t="s">
        <v>30</v>
      </c>
      <c r="L123" s="8" t="s">
        <v>30</v>
      </c>
    </row>
    <row r="124" spans="3:13" x14ac:dyDescent="0.3">
      <c r="C124" s="16" t="s">
        <v>3109</v>
      </c>
      <c r="D124" s="8" t="s">
        <v>31</v>
      </c>
      <c r="F124" s="8" t="s">
        <v>31</v>
      </c>
      <c r="G124" s="18" t="s">
        <v>3359</v>
      </c>
      <c r="H124" s="8" t="s">
        <v>1369</v>
      </c>
      <c r="J124" s="8" t="s">
        <v>1369</v>
      </c>
      <c r="L124" s="8" t="s">
        <v>1369</v>
      </c>
    </row>
    <row r="125" spans="3:13" x14ac:dyDescent="0.3">
      <c r="C125" s="16" t="s">
        <v>3133</v>
      </c>
      <c r="D125" s="8" t="s">
        <v>2794</v>
      </c>
      <c r="F125" s="8" t="s">
        <v>1375</v>
      </c>
      <c r="H125" s="8" t="s">
        <v>3906</v>
      </c>
      <c r="J125" s="8" t="s">
        <v>4070</v>
      </c>
      <c r="L125" s="8" t="s">
        <v>3082</v>
      </c>
    </row>
    <row r="126" spans="3:13" x14ac:dyDescent="0.3">
      <c r="C126" s="16" t="s">
        <v>19</v>
      </c>
      <c r="D126" s="8" t="s">
        <v>19</v>
      </c>
      <c r="F126" s="8" t="s">
        <v>19</v>
      </c>
      <c r="H126" s="8" t="s">
        <v>19</v>
      </c>
      <c r="J126" s="8" t="s">
        <v>19</v>
      </c>
      <c r="L126" s="8" t="s">
        <v>19</v>
      </c>
    </row>
    <row r="127" spans="3:13" x14ac:dyDescent="0.3">
      <c r="C127" s="16" t="s">
        <v>3090</v>
      </c>
      <c r="D127" s="8" t="s">
        <v>32</v>
      </c>
      <c r="F127" s="8" t="s">
        <v>32</v>
      </c>
      <c r="H127" s="8" t="s">
        <v>32</v>
      </c>
      <c r="J127" s="8" t="s">
        <v>32</v>
      </c>
      <c r="L127" s="8" t="s">
        <v>32</v>
      </c>
    </row>
    <row r="128" spans="3:13" x14ac:dyDescent="0.3">
      <c r="C128" s="16" t="s">
        <v>3111</v>
      </c>
      <c r="D128" s="8" t="s">
        <v>33</v>
      </c>
      <c r="F128" s="8" t="s">
        <v>33</v>
      </c>
      <c r="H128" s="8" t="s">
        <v>33</v>
      </c>
      <c r="J128" s="8" t="s">
        <v>33</v>
      </c>
      <c r="L128" s="8" t="s">
        <v>33</v>
      </c>
    </row>
    <row r="129" spans="3:13" x14ac:dyDescent="0.3">
      <c r="C129" s="16" t="s">
        <v>20</v>
      </c>
      <c r="D129" s="8" t="s">
        <v>20</v>
      </c>
      <c r="F129" s="8" t="s">
        <v>20</v>
      </c>
      <c r="H129" s="8" t="s">
        <v>20</v>
      </c>
      <c r="J129" s="8" t="s">
        <v>20</v>
      </c>
      <c r="L129" s="8" t="s">
        <v>20</v>
      </c>
    </row>
    <row r="130" spans="3:13" x14ac:dyDescent="0.3">
      <c r="C130" s="16" t="s">
        <v>21</v>
      </c>
      <c r="D130" s="8" t="s">
        <v>21</v>
      </c>
      <c r="F130" s="8" t="s">
        <v>21</v>
      </c>
      <c r="H130" s="8" t="s">
        <v>21</v>
      </c>
      <c r="J130" s="8" t="s">
        <v>21</v>
      </c>
      <c r="L130" s="8" t="s">
        <v>21</v>
      </c>
    </row>
    <row r="131" spans="3:13" x14ac:dyDescent="0.3">
      <c r="C131" s="16" t="s">
        <v>3091</v>
      </c>
      <c r="D131" s="8" t="s">
        <v>34</v>
      </c>
      <c r="F131" s="8" t="s">
        <v>34</v>
      </c>
      <c r="H131" s="8" t="s">
        <v>34</v>
      </c>
      <c r="J131" s="8" t="s">
        <v>34</v>
      </c>
      <c r="L131" s="8" t="s">
        <v>34</v>
      </c>
    </row>
    <row r="132" spans="3:13" x14ac:dyDescent="0.3">
      <c r="C132" s="16" t="s">
        <v>3092</v>
      </c>
      <c r="D132" s="8" t="s">
        <v>35</v>
      </c>
      <c r="F132" s="8" t="s">
        <v>35</v>
      </c>
      <c r="H132" s="8" t="s">
        <v>35</v>
      </c>
      <c r="J132" s="8" t="s">
        <v>35</v>
      </c>
      <c r="L132" s="8" t="s">
        <v>35</v>
      </c>
    </row>
    <row r="133" spans="3:13" x14ac:dyDescent="0.3">
      <c r="C133" s="16" t="s">
        <v>3134</v>
      </c>
      <c r="D133" s="8" t="s">
        <v>2795</v>
      </c>
      <c r="F133" s="8" t="s">
        <v>36</v>
      </c>
      <c r="G133" s="18" t="s">
        <v>3360</v>
      </c>
      <c r="H133" s="8" t="s">
        <v>3076</v>
      </c>
      <c r="J133" s="14" t="s">
        <v>36</v>
      </c>
      <c r="K133" s="18" t="s">
        <v>3360</v>
      </c>
      <c r="L133" s="8" t="s">
        <v>3299</v>
      </c>
      <c r="M133" s="18"/>
    </row>
    <row r="134" spans="3:13" x14ac:dyDescent="0.3">
      <c r="C134" s="16" t="s">
        <v>19</v>
      </c>
      <c r="D134" s="8" t="s">
        <v>19</v>
      </c>
      <c r="F134" s="8" t="s">
        <v>19</v>
      </c>
      <c r="H134" s="8" t="s">
        <v>19</v>
      </c>
      <c r="J134" s="8" t="s">
        <v>19</v>
      </c>
      <c r="L134" s="8" t="s">
        <v>19</v>
      </c>
    </row>
    <row r="135" spans="3:13" x14ac:dyDescent="0.3">
      <c r="C135" s="16" t="s">
        <v>3093</v>
      </c>
      <c r="D135" s="8" t="s">
        <v>37</v>
      </c>
      <c r="F135" s="8" t="s">
        <v>37</v>
      </c>
      <c r="H135" s="8" t="s">
        <v>37</v>
      </c>
      <c r="J135" s="8" t="s">
        <v>37</v>
      </c>
      <c r="L135" s="8" t="s">
        <v>37</v>
      </c>
    </row>
    <row r="136" spans="3:13" x14ac:dyDescent="0.3">
      <c r="C136" s="16" t="s">
        <v>3135</v>
      </c>
      <c r="D136" s="14" t="s">
        <v>38</v>
      </c>
      <c r="E136" s="18" t="s">
        <v>3363</v>
      </c>
      <c r="F136" s="8" t="s">
        <v>1376</v>
      </c>
      <c r="H136" s="8" t="s">
        <v>3907</v>
      </c>
      <c r="J136" s="8" t="s">
        <v>3907</v>
      </c>
      <c r="L136" s="14" t="s">
        <v>3405</v>
      </c>
      <c r="M136" s="18" t="s">
        <v>3363</v>
      </c>
    </row>
    <row r="137" spans="3:13" x14ac:dyDescent="0.3">
      <c r="C137" s="16" t="s">
        <v>19</v>
      </c>
      <c r="D137" s="8" t="s">
        <v>19</v>
      </c>
      <c r="F137" s="8" t="s">
        <v>19</v>
      </c>
      <c r="H137" s="8" t="s">
        <v>19</v>
      </c>
      <c r="J137" s="8" t="s">
        <v>19</v>
      </c>
      <c r="L137" s="8" t="s">
        <v>19</v>
      </c>
    </row>
    <row r="138" spans="3:13" x14ac:dyDescent="0.3">
      <c r="C138" s="16" t="s">
        <v>3094</v>
      </c>
      <c r="D138" s="8" t="s">
        <v>39</v>
      </c>
      <c r="F138" s="8" t="s">
        <v>39</v>
      </c>
      <c r="H138" s="8" t="s">
        <v>39</v>
      </c>
      <c r="J138" s="8" t="s">
        <v>39</v>
      </c>
      <c r="L138" s="8" t="s">
        <v>39</v>
      </c>
    </row>
    <row r="139" spans="3:13" x14ac:dyDescent="0.3">
      <c r="C139" s="16" t="s">
        <v>3114</v>
      </c>
      <c r="D139" s="8" t="s">
        <v>58</v>
      </c>
      <c r="F139" s="8" t="s">
        <v>58</v>
      </c>
      <c r="H139" s="14" t="s">
        <v>3050</v>
      </c>
      <c r="I139" s="18" t="s">
        <v>3358</v>
      </c>
      <c r="J139" s="14" t="s">
        <v>3050</v>
      </c>
      <c r="K139" s="18" t="s">
        <v>3358</v>
      </c>
      <c r="L139" s="8" t="s">
        <v>58</v>
      </c>
    </row>
    <row r="140" spans="3:13" x14ac:dyDescent="0.3">
      <c r="C140" s="16" t="s">
        <v>3115</v>
      </c>
      <c r="D140" s="14" t="s">
        <v>1377</v>
      </c>
      <c r="E140" s="18" t="s">
        <v>3358</v>
      </c>
      <c r="F140" s="14" t="s">
        <v>3465</v>
      </c>
      <c r="G140" s="18" t="s">
        <v>3358</v>
      </c>
      <c r="H140" s="14" t="s">
        <v>3051</v>
      </c>
      <c r="I140" s="18" t="s">
        <v>3358</v>
      </c>
      <c r="J140" s="14" t="s">
        <v>3051</v>
      </c>
      <c r="K140" s="18" t="s">
        <v>3358</v>
      </c>
      <c r="L140" s="14" t="s">
        <v>3401</v>
      </c>
      <c r="M140" s="18" t="s">
        <v>3358</v>
      </c>
    </row>
    <row r="141" spans="3:13" x14ac:dyDescent="0.3">
      <c r="C141" s="16" t="s">
        <v>19</v>
      </c>
      <c r="D141" s="8" t="s">
        <v>19</v>
      </c>
      <c r="F141" s="8" t="s">
        <v>19</v>
      </c>
      <c r="H141" s="8" t="s">
        <v>19</v>
      </c>
      <c r="J141" s="8" t="s">
        <v>19</v>
      </c>
      <c r="L141" s="8" t="s">
        <v>19</v>
      </c>
    </row>
    <row r="142" spans="3:13" x14ac:dyDescent="0.3">
      <c r="C142" s="16" t="s">
        <v>3095</v>
      </c>
      <c r="D142" s="8" t="s">
        <v>40</v>
      </c>
      <c r="F142" s="8" t="s">
        <v>40</v>
      </c>
      <c r="H142" s="8" t="s">
        <v>40</v>
      </c>
      <c r="J142" s="8" t="s">
        <v>40</v>
      </c>
      <c r="L142" s="8" t="s">
        <v>40</v>
      </c>
    </row>
    <row r="143" spans="3:13" x14ac:dyDescent="0.3">
      <c r="C143" s="16" t="s">
        <v>3116</v>
      </c>
      <c r="D143" s="8" t="s">
        <v>41</v>
      </c>
      <c r="F143" s="8" t="s">
        <v>41</v>
      </c>
      <c r="H143" s="8" t="s">
        <v>1385</v>
      </c>
      <c r="J143" s="8" t="s">
        <v>1385</v>
      </c>
      <c r="L143" s="8" t="s">
        <v>1385</v>
      </c>
    </row>
    <row r="144" spans="3:13" x14ac:dyDescent="0.3">
      <c r="C144" s="16" t="s">
        <v>19</v>
      </c>
      <c r="D144" s="8" t="s">
        <v>19</v>
      </c>
      <c r="F144" s="8" t="s">
        <v>19</v>
      </c>
      <c r="H144" s="8" t="s">
        <v>19</v>
      </c>
      <c r="J144" s="8" t="s">
        <v>19</v>
      </c>
      <c r="L144" s="8" t="s">
        <v>19</v>
      </c>
    </row>
    <row r="145" spans="3:13" x14ac:dyDescent="0.3">
      <c r="C145" s="16" t="s">
        <v>3096</v>
      </c>
      <c r="D145" s="8" t="s">
        <v>42</v>
      </c>
      <c r="F145" s="8" t="s">
        <v>42</v>
      </c>
      <c r="H145" s="8" t="s">
        <v>42</v>
      </c>
      <c r="J145" s="8" t="s">
        <v>42</v>
      </c>
      <c r="L145" s="8" t="s">
        <v>42</v>
      </c>
    </row>
    <row r="146" spans="3:13" x14ac:dyDescent="0.3">
      <c r="C146" s="16" t="s">
        <v>3138</v>
      </c>
      <c r="D146" s="14" t="s">
        <v>2796</v>
      </c>
      <c r="E146" s="18" t="s">
        <v>3364</v>
      </c>
      <c r="F146" s="8" t="s">
        <v>1378</v>
      </c>
      <c r="G146" s="18" t="s">
        <v>3364</v>
      </c>
      <c r="H146" s="14" t="s">
        <v>2792</v>
      </c>
      <c r="I146" s="18" t="s">
        <v>3364</v>
      </c>
      <c r="J146" s="8" t="s">
        <v>3080</v>
      </c>
      <c r="K146" s="18" t="s">
        <v>3364</v>
      </c>
      <c r="L146" s="14" t="s">
        <v>2792</v>
      </c>
      <c r="M146" s="18" t="s">
        <v>3358</v>
      </c>
    </row>
    <row r="147" spans="3:13" x14ac:dyDescent="0.3">
      <c r="C147" s="16" t="s">
        <v>20</v>
      </c>
      <c r="D147" s="8" t="s">
        <v>20</v>
      </c>
      <c r="F147" s="8" t="s">
        <v>20</v>
      </c>
      <c r="H147" s="8" t="s">
        <v>20</v>
      </c>
      <c r="J147" s="8" t="s">
        <v>20</v>
      </c>
      <c r="L147" s="8" t="s">
        <v>20</v>
      </c>
    </row>
    <row r="148" spans="3:13" x14ac:dyDescent="0.3">
      <c r="C148" s="16" t="s">
        <v>21</v>
      </c>
      <c r="D148" s="8" t="s">
        <v>21</v>
      </c>
      <c r="F148" s="8" t="s">
        <v>21</v>
      </c>
      <c r="H148" s="8" t="s">
        <v>21</v>
      </c>
      <c r="J148" s="8" t="s">
        <v>21</v>
      </c>
      <c r="L148" s="8" t="s">
        <v>21</v>
      </c>
    </row>
    <row r="149" spans="3:13" x14ac:dyDescent="0.3">
      <c r="C149" s="16" t="s">
        <v>3097</v>
      </c>
      <c r="D149" s="8" t="s">
        <v>43</v>
      </c>
      <c r="F149" s="8" t="s">
        <v>43</v>
      </c>
      <c r="H149" s="8" t="s">
        <v>43</v>
      </c>
      <c r="J149" s="8" t="s">
        <v>43</v>
      </c>
      <c r="L149" s="8" t="s">
        <v>43</v>
      </c>
    </row>
    <row r="150" spans="3:13" x14ac:dyDescent="0.3">
      <c r="C150" s="16" t="s">
        <v>3098</v>
      </c>
      <c r="D150" s="8" t="s">
        <v>44</v>
      </c>
      <c r="F150" s="8" t="s">
        <v>44</v>
      </c>
      <c r="H150" s="8" t="s">
        <v>44</v>
      </c>
      <c r="J150" s="8" t="s">
        <v>44</v>
      </c>
      <c r="L150" s="8" t="s">
        <v>44</v>
      </c>
    </row>
    <row r="151" spans="3:13" x14ac:dyDescent="0.3">
      <c r="C151" s="16" t="s">
        <v>3136</v>
      </c>
      <c r="D151" s="8" t="s">
        <v>1379</v>
      </c>
      <c r="F151" s="8" t="s">
        <v>1379</v>
      </c>
      <c r="H151" s="14" t="s">
        <v>3908</v>
      </c>
      <c r="I151" s="18" t="s">
        <v>3358</v>
      </c>
      <c r="J151" s="8" t="s">
        <v>3078</v>
      </c>
      <c r="L151" s="8" t="s">
        <v>3078</v>
      </c>
    </row>
    <row r="152" spans="3:13" x14ac:dyDescent="0.3">
      <c r="C152" s="16" t="s">
        <v>20</v>
      </c>
      <c r="D152" s="8" t="s">
        <v>20</v>
      </c>
      <c r="F152" s="8" t="s">
        <v>20</v>
      </c>
      <c r="H152" s="8" t="s">
        <v>20</v>
      </c>
      <c r="J152" s="8" t="s">
        <v>20</v>
      </c>
      <c r="L152" s="8" t="s">
        <v>20</v>
      </c>
    </row>
    <row r="153" spans="3:13" x14ac:dyDescent="0.3">
      <c r="C153" s="16" t="s">
        <v>22</v>
      </c>
      <c r="D153" s="8" t="s">
        <v>22</v>
      </c>
      <c r="F153" s="8" t="s">
        <v>22</v>
      </c>
      <c r="H153" s="8" t="s">
        <v>22</v>
      </c>
      <c r="J153" s="8" t="s">
        <v>22</v>
      </c>
      <c r="L153" s="8" t="s">
        <v>22</v>
      </c>
    </row>
    <row r="154" spans="3:13" x14ac:dyDescent="0.3">
      <c r="C154" s="16" t="s">
        <v>24</v>
      </c>
      <c r="D154" s="8" t="s">
        <v>24</v>
      </c>
      <c r="F154" s="8" t="s">
        <v>24</v>
      </c>
      <c r="H154" s="8" t="s">
        <v>24</v>
      </c>
      <c r="J154" s="8" t="s">
        <v>24</v>
      </c>
      <c r="L154" s="8" t="s">
        <v>24</v>
      </c>
    </row>
    <row r="155" spans="3:13" x14ac:dyDescent="0.3">
      <c r="C155" s="16" t="s">
        <v>25</v>
      </c>
      <c r="D155" s="8" t="s">
        <v>25</v>
      </c>
      <c r="F155" s="8" t="s">
        <v>25</v>
      </c>
      <c r="H155" s="8" t="s">
        <v>25</v>
      </c>
      <c r="J155" s="8" t="s">
        <v>25</v>
      </c>
      <c r="L155" s="8" t="s">
        <v>25</v>
      </c>
    </row>
    <row r="156" spans="3:13" x14ac:dyDescent="0.3">
      <c r="F156" s="10"/>
    </row>
    <row r="157" spans="3:13" x14ac:dyDescent="0.3">
      <c r="C157" s="16"/>
      <c r="F157" s="10"/>
    </row>
    <row r="158" spans="3:13" x14ac:dyDescent="0.3">
      <c r="D158" s="12" t="s">
        <v>3361</v>
      </c>
      <c r="F158" s="12" t="s">
        <v>3361</v>
      </c>
      <c r="J158" s="12" t="s">
        <v>3361</v>
      </c>
      <c r="L158" s="12" t="s">
        <v>3361</v>
      </c>
    </row>
    <row r="159" spans="3:13" ht="28.8" x14ac:dyDescent="0.3">
      <c r="D159" s="9" t="s">
        <v>3362</v>
      </c>
      <c r="F159" s="9" t="s">
        <v>3395</v>
      </c>
      <c r="H159" s="12" t="s">
        <v>3057</v>
      </c>
      <c r="J159" s="9"/>
      <c r="L159" s="9" t="s">
        <v>3362</v>
      </c>
    </row>
    <row r="160" spans="3:13" x14ac:dyDescent="0.3">
      <c r="H160" t="s">
        <v>3356</v>
      </c>
      <c r="J160" t="s">
        <v>3398</v>
      </c>
    </row>
    <row r="161" spans="10:10" x14ac:dyDescent="0.3">
      <c r="J161" t="s">
        <v>3399</v>
      </c>
    </row>
    <row r="164" spans="10:10" x14ac:dyDescent="0.3">
      <c r="J164" s="8"/>
    </row>
    <row r="165" spans="10:10" x14ac:dyDescent="0.3">
      <c r="J165" s="19"/>
    </row>
    <row r="197" spans="6:6" x14ac:dyDescent="0.3">
      <c r="F197" s="10"/>
    </row>
    <row r="198" spans="6:6" x14ac:dyDescent="0.3">
      <c r="F198" s="10"/>
    </row>
    <row r="199" spans="6:6" x14ac:dyDescent="0.3">
      <c r="F199" s="10"/>
    </row>
    <row r="200" spans="6:6" x14ac:dyDescent="0.3">
      <c r="F200" s="10"/>
    </row>
    <row r="201" spans="6:6" x14ac:dyDescent="0.3">
      <c r="F201" s="10"/>
    </row>
    <row r="202" spans="6:6" x14ac:dyDescent="0.3">
      <c r="F202" s="10"/>
    </row>
    <row r="203" spans="6:6" x14ac:dyDescent="0.3">
      <c r="F203" s="10"/>
    </row>
    <row r="204" spans="6:6" x14ac:dyDescent="0.3">
      <c r="F204" s="10"/>
    </row>
    <row r="205" spans="6:6" x14ac:dyDescent="0.3">
      <c r="F205" s="10"/>
    </row>
    <row r="206" spans="6:6" x14ac:dyDescent="0.3">
      <c r="F206" s="10"/>
    </row>
    <row r="207" spans="6:6" x14ac:dyDescent="0.3">
      <c r="F207" s="10"/>
    </row>
    <row r="208" spans="6:6" x14ac:dyDescent="0.3">
      <c r="F208" s="10"/>
    </row>
    <row r="209" spans="6:6" x14ac:dyDescent="0.3">
      <c r="F209" s="10"/>
    </row>
    <row r="210" spans="6:6" x14ac:dyDescent="0.3">
      <c r="F210" s="10"/>
    </row>
    <row r="211" spans="6:6" x14ac:dyDescent="0.3">
      <c r="F211" s="10"/>
    </row>
    <row r="212" spans="6:6" x14ac:dyDescent="0.3">
      <c r="F212" s="10"/>
    </row>
    <row r="213" spans="6:6" x14ac:dyDescent="0.3">
      <c r="F213" s="10"/>
    </row>
    <row r="214" spans="6:6" x14ac:dyDescent="0.3">
      <c r="F214" s="10"/>
    </row>
    <row r="215" spans="6:6" x14ac:dyDescent="0.3">
      <c r="F215" s="10"/>
    </row>
    <row r="216" spans="6:6" x14ac:dyDescent="0.3">
      <c r="F216" s="10"/>
    </row>
    <row r="217" spans="6:6" x14ac:dyDescent="0.3">
      <c r="F217" s="10"/>
    </row>
    <row r="218" spans="6:6" x14ac:dyDescent="0.3">
      <c r="F218" s="10"/>
    </row>
    <row r="219" spans="6:6" x14ac:dyDescent="0.3">
      <c r="F219" s="10"/>
    </row>
    <row r="220" spans="6:6" x14ac:dyDescent="0.3">
      <c r="F220" s="10"/>
    </row>
    <row r="221" spans="6:6" x14ac:dyDescent="0.3">
      <c r="F221" s="10"/>
    </row>
    <row r="222" spans="6:6" x14ac:dyDescent="0.3">
      <c r="F222" s="10"/>
    </row>
    <row r="223" spans="6:6" x14ac:dyDescent="0.3">
      <c r="F223" s="10"/>
    </row>
    <row r="224" spans="6:6" x14ac:dyDescent="0.3">
      <c r="F224" s="10"/>
    </row>
    <row r="225" spans="6:6" x14ac:dyDescent="0.3">
      <c r="F225" s="10"/>
    </row>
    <row r="226" spans="6:6" x14ac:dyDescent="0.3">
      <c r="F226" s="10"/>
    </row>
    <row r="227" spans="6:6" x14ac:dyDescent="0.3">
      <c r="F227" s="10"/>
    </row>
    <row r="228" spans="6:6" x14ac:dyDescent="0.3">
      <c r="F228" s="10"/>
    </row>
    <row r="229" spans="6:6" x14ac:dyDescent="0.3">
      <c r="F229" s="10"/>
    </row>
    <row r="230" spans="6:6" x14ac:dyDescent="0.3">
      <c r="F230" s="10"/>
    </row>
    <row r="231" spans="6:6" x14ac:dyDescent="0.3">
      <c r="F231" s="10"/>
    </row>
    <row r="232" spans="6:6" x14ac:dyDescent="0.3">
      <c r="F232" s="10"/>
    </row>
    <row r="233" spans="6:6" x14ac:dyDescent="0.3">
      <c r="F233" s="10"/>
    </row>
    <row r="234" spans="6:6" x14ac:dyDescent="0.3">
      <c r="F234" s="10"/>
    </row>
    <row r="235" spans="6:6" x14ac:dyDescent="0.3">
      <c r="F235" s="10"/>
    </row>
    <row r="236" spans="6:6" x14ac:dyDescent="0.3">
      <c r="F236" s="10"/>
    </row>
    <row r="237" spans="6:6" x14ac:dyDescent="0.3">
      <c r="F237" s="10"/>
    </row>
    <row r="238" spans="6:6" x14ac:dyDescent="0.3">
      <c r="F238" s="10"/>
    </row>
    <row r="239" spans="6:6" x14ac:dyDescent="0.3">
      <c r="F239" s="10"/>
    </row>
    <row r="240" spans="6:6" x14ac:dyDescent="0.3">
      <c r="F240" s="10"/>
    </row>
    <row r="241" spans="6:6" x14ac:dyDescent="0.3">
      <c r="F241" s="10"/>
    </row>
    <row r="242" spans="6:6" x14ac:dyDescent="0.3">
      <c r="F242" s="10"/>
    </row>
    <row r="243" spans="6:6" x14ac:dyDescent="0.3">
      <c r="F243" s="10"/>
    </row>
    <row r="244" spans="6:6" x14ac:dyDescent="0.3">
      <c r="F244" s="10"/>
    </row>
    <row r="245" spans="6:6" x14ac:dyDescent="0.3">
      <c r="F245" s="10"/>
    </row>
    <row r="246" spans="6:6" x14ac:dyDescent="0.3">
      <c r="F246" s="10"/>
    </row>
    <row r="247" spans="6:6" x14ac:dyDescent="0.3">
      <c r="F247" s="10"/>
    </row>
    <row r="248" spans="6:6" x14ac:dyDescent="0.3">
      <c r="F248" s="10"/>
    </row>
    <row r="249" spans="6:6" x14ac:dyDescent="0.3">
      <c r="F249" s="10"/>
    </row>
    <row r="250" spans="6:6" x14ac:dyDescent="0.3">
      <c r="F250" s="10"/>
    </row>
    <row r="251" spans="6:6" x14ac:dyDescent="0.3">
      <c r="F251" s="10"/>
    </row>
    <row r="252" spans="6:6" x14ac:dyDescent="0.3">
      <c r="F252" s="10"/>
    </row>
    <row r="253" spans="6:6" x14ac:dyDescent="0.3">
      <c r="F253" s="10"/>
    </row>
    <row r="254" spans="6:6" x14ac:dyDescent="0.3">
      <c r="F254" s="10"/>
    </row>
    <row r="255" spans="6:6" x14ac:dyDescent="0.3">
      <c r="F255" s="10"/>
    </row>
    <row r="256" spans="6:6" x14ac:dyDescent="0.3">
      <c r="F256" s="10"/>
    </row>
    <row r="257" spans="6:6" x14ac:dyDescent="0.3">
      <c r="F257" s="10"/>
    </row>
    <row r="258" spans="6:6" x14ac:dyDescent="0.3">
      <c r="F258" s="10"/>
    </row>
    <row r="259" spans="6:6" x14ac:dyDescent="0.3">
      <c r="F259" s="10"/>
    </row>
    <row r="260" spans="6:6" x14ac:dyDescent="0.3">
      <c r="F260" s="10"/>
    </row>
    <row r="261" spans="6:6" x14ac:dyDescent="0.3">
      <c r="F261" s="10"/>
    </row>
    <row r="262" spans="6:6" x14ac:dyDescent="0.3">
      <c r="F262" s="10"/>
    </row>
    <row r="263" spans="6:6" x14ac:dyDescent="0.3">
      <c r="F263" s="10"/>
    </row>
    <row r="264" spans="6:6" x14ac:dyDescent="0.3">
      <c r="F264" s="10"/>
    </row>
    <row r="265" spans="6:6" x14ac:dyDescent="0.3">
      <c r="F265" s="10"/>
    </row>
    <row r="266" spans="6:6" x14ac:dyDescent="0.3">
      <c r="F266" s="10"/>
    </row>
    <row r="267" spans="6:6" x14ac:dyDescent="0.3">
      <c r="F267" s="10"/>
    </row>
    <row r="268" spans="6:6" x14ac:dyDescent="0.3">
      <c r="F268" s="10"/>
    </row>
    <row r="269" spans="6:6" x14ac:dyDescent="0.3">
      <c r="F269" s="10"/>
    </row>
    <row r="270" spans="6:6" x14ac:dyDescent="0.3">
      <c r="F270" s="10"/>
    </row>
    <row r="271" spans="6:6" x14ac:dyDescent="0.3">
      <c r="F271" s="10"/>
    </row>
    <row r="272" spans="6:6" x14ac:dyDescent="0.3">
      <c r="F272" s="10"/>
    </row>
    <row r="273" spans="6:6" x14ac:dyDescent="0.3">
      <c r="F273" s="10"/>
    </row>
    <row r="274" spans="6:6" x14ac:dyDescent="0.3">
      <c r="F274" s="10"/>
    </row>
    <row r="275" spans="6:6" x14ac:dyDescent="0.3">
      <c r="F275" s="10"/>
    </row>
    <row r="276" spans="6:6" x14ac:dyDescent="0.3">
      <c r="F276" s="10"/>
    </row>
    <row r="277" spans="6:6" x14ac:dyDescent="0.3">
      <c r="F277" s="10"/>
    </row>
    <row r="278" spans="6:6" x14ac:dyDescent="0.3">
      <c r="F278" s="10"/>
    </row>
    <row r="279" spans="6:6" x14ac:dyDescent="0.3">
      <c r="F279" s="10"/>
    </row>
    <row r="280" spans="6:6" x14ac:dyDescent="0.3">
      <c r="F280" s="10"/>
    </row>
    <row r="281" spans="6:6" x14ac:dyDescent="0.3">
      <c r="F281" s="10"/>
    </row>
    <row r="282" spans="6:6" x14ac:dyDescent="0.3">
      <c r="F282" s="10"/>
    </row>
    <row r="283" spans="6:6" x14ac:dyDescent="0.3">
      <c r="F283" s="10"/>
    </row>
    <row r="284" spans="6:6" x14ac:dyDescent="0.3">
      <c r="F284" s="10"/>
    </row>
    <row r="285" spans="6:6" x14ac:dyDescent="0.3">
      <c r="F285" s="10"/>
    </row>
    <row r="286" spans="6:6" x14ac:dyDescent="0.3">
      <c r="F286" s="10"/>
    </row>
    <row r="287" spans="6:6" x14ac:dyDescent="0.3">
      <c r="F287" s="10"/>
    </row>
    <row r="288" spans="6:6" x14ac:dyDescent="0.3">
      <c r="F288" s="10"/>
    </row>
    <row r="289" spans="6:6" x14ac:dyDescent="0.3">
      <c r="F289" s="10"/>
    </row>
    <row r="290" spans="6:6" x14ac:dyDescent="0.3">
      <c r="F290" s="10"/>
    </row>
    <row r="291" spans="6:6" x14ac:dyDescent="0.3">
      <c r="F291" s="10"/>
    </row>
    <row r="292" spans="6:6" x14ac:dyDescent="0.3">
      <c r="F292" s="10"/>
    </row>
    <row r="293" spans="6:6" x14ac:dyDescent="0.3">
      <c r="F293" s="10"/>
    </row>
    <row r="294" spans="6:6" x14ac:dyDescent="0.3">
      <c r="F294" s="10"/>
    </row>
    <row r="295" spans="6:6" x14ac:dyDescent="0.3">
      <c r="F295" s="10"/>
    </row>
    <row r="296" spans="6:6" x14ac:dyDescent="0.3">
      <c r="F296" s="10"/>
    </row>
    <row r="297" spans="6:6" x14ac:dyDescent="0.3">
      <c r="F297" s="10"/>
    </row>
    <row r="298" spans="6:6" x14ac:dyDescent="0.3">
      <c r="F298" s="10"/>
    </row>
    <row r="299" spans="6:6" x14ac:dyDescent="0.3">
      <c r="F299" s="10"/>
    </row>
    <row r="300" spans="6:6" x14ac:dyDescent="0.3">
      <c r="F300" s="10"/>
    </row>
    <row r="301" spans="6:6" x14ac:dyDescent="0.3">
      <c r="F301" s="10"/>
    </row>
    <row r="302" spans="6:6" x14ac:dyDescent="0.3">
      <c r="F302" s="10"/>
    </row>
    <row r="303" spans="6:6" x14ac:dyDescent="0.3">
      <c r="F303" s="10"/>
    </row>
    <row r="304" spans="6:6" x14ac:dyDescent="0.3">
      <c r="F304" s="10"/>
    </row>
    <row r="305" spans="6:6" x14ac:dyDescent="0.3">
      <c r="F305" s="10"/>
    </row>
    <row r="306" spans="6:6" x14ac:dyDescent="0.3">
      <c r="F306" s="10"/>
    </row>
    <row r="307" spans="6:6" x14ac:dyDescent="0.3">
      <c r="F307" s="10"/>
    </row>
    <row r="308" spans="6:6" x14ac:dyDescent="0.3">
      <c r="F308" s="10"/>
    </row>
    <row r="309" spans="6:6" x14ac:dyDescent="0.3">
      <c r="F309" s="10"/>
    </row>
    <row r="310" spans="6:6" x14ac:dyDescent="0.3">
      <c r="F310" s="10"/>
    </row>
    <row r="311" spans="6:6" x14ac:dyDescent="0.3">
      <c r="F311" s="10"/>
    </row>
    <row r="312" spans="6:6" x14ac:dyDescent="0.3">
      <c r="F312" s="10"/>
    </row>
    <row r="313" spans="6:6" x14ac:dyDescent="0.3">
      <c r="F313" s="10"/>
    </row>
    <row r="314" spans="6:6" x14ac:dyDescent="0.3">
      <c r="F314" s="10"/>
    </row>
    <row r="315" spans="6:6" x14ac:dyDescent="0.3">
      <c r="F315" s="10"/>
    </row>
    <row r="316" spans="6:6" x14ac:dyDescent="0.3">
      <c r="F316" s="10"/>
    </row>
    <row r="317" spans="6:6" x14ac:dyDescent="0.3">
      <c r="F317" s="10"/>
    </row>
    <row r="318" spans="6:6" x14ac:dyDescent="0.3">
      <c r="F318" s="10"/>
    </row>
    <row r="319" spans="6:6" x14ac:dyDescent="0.3">
      <c r="F319" s="10"/>
    </row>
    <row r="320" spans="6:6" x14ac:dyDescent="0.3">
      <c r="F320" s="10"/>
    </row>
    <row r="321" spans="6:6" x14ac:dyDescent="0.3">
      <c r="F321" s="10"/>
    </row>
    <row r="322" spans="6:6" x14ac:dyDescent="0.3">
      <c r="F322" s="10"/>
    </row>
    <row r="323" spans="6:6" x14ac:dyDescent="0.3">
      <c r="F323" s="10"/>
    </row>
    <row r="324" spans="6:6" x14ac:dyDescent="0.3">
      <c r="F324" s="10"/>
    </row>
    <row r="325" spans="6:6" x14ac:dyDescent="0.3">
      <c r="F325" s="10"/>
    </row>
    <row r="326" spans="6:6" x14ac:dyDescent="0.3">
      <c r="F326" s="10"/>
    </row>
    <row r="327" spans="6:6" x14ac:dyDescent="0.3">
      <c r="F327" s="10"/>
    </row>
    <row r="328" spans="6:6" x14ac:dyDescent="0.3">
      <c r="F328" s="10"/>
    </row>
    <row r="329" spans="6:6" x14ac:dyDescent="0.3">
      <c r="F329" s="10"/>
    </row>
    <row r="330" spans="6:6" x14ac:dyDescent="0.3">
      <c r="F330" s="10"/>
    </row>
    <row r="331" spans="6:6" x14ac:dyDescent="0.3">
      <c r="F331" s="10"/>
    </row>
    <row r="332" spans="6:6" x14ac:dyDescent="0.3">
      <c r="F332" s="10"/>
    </row>
    <row r="333" spans="6:6" x14ac:dyDescent="0.3">
      <c r="F333" s="10"/>
    </row>
    <row r="334" spans="6:6" x14ac:dyDescent="0.3">
      <c r="F334" s="10"/>
    </row>
    <row r="335" spans="6:6" x14ac:dyDescent="0.3">
      <c r="F335" s="10"/>
    </row>
    <row r="336" spans="6:6" x14ac:dyDescent="0.3">
      <c r="F336" s="10"/>
    </row>
    <row r="337" spans="6:6" x14ac:dyDescent="0.3">
      <c r="F337" s="10"/>
    </row>
    <row r="338" spans="6:6" x14ac:dyDescent="0.3">
      <c r="F338" s="10"/>
    </row>
    <row r="339" spans="6:6" x14ac:dyDescent="0.3">
      <c r="F339" s="10"/>
    </row>
    <row r="340" spans="6:6" x14ac:dyDescent="0.3">
      <c r="F340" s="10"/>
    </row>
    <row r="341" spans="6:6" x14ac:dyDescent="0.3">
      <c r="F341" s="10"/>
    </row>
    <row r="342" spans="6:6" x14ac:dyDescent="0.3">
      <c r="F342" s="10"/>
    </row>
    <row r="343" spans="6:6" x14ac:dyDescent="0.3">
      <c r="F343" s="10"/>
    </row>
    <row r="344" spans="6:6" x14ac:dyDescent="0.3">
      <c r="F344" s="10"/>
    </row>
    <row r="345" spans="6:6" x14ac:dyDescent="0.3">
      <c r="F345" s="10"/>
    </row>
    <row r="346" spans="6:6" x14ac:dyDescent="0.3">
      <c r="F346" s="10"/>
    </row>
    <row r="347" spans="6:6" x14ac:dyDescent="0.3">
      <c r="F347" s="10"/>
    </row>
    <row r="348" spans="6:6" x14ac:dyDescent="0.3">
      <c r="F348" s="10"/>
    </row>
    <row r="349" spans="6:6" x14ac:dyDescent="0.3">
      <c r="F349" s="10"/>
    </row>
    <row r="350" spans="6:6" x14ac:dyDescent="0.3">
      <c r="F350" s="10"/>
    </row>
    <row r="351" spans="6:6" x14ac:dyDescent="0.3">
      <c r="F351" s="10"/>
    </row>
    <row r="352" spans="6:6" x14ac:dyDescent="0.3">
      <c r="F352" s="10"/>
    </row>
    <row r="353" spans="6:6" x14ac:dyDescent="0.3">
      <c r="F353" s="10"/>
    </row>
    <row r="354" spans="6:6" x14ac:dyDescent="0.3">
      <c r="F354" s="10"/>
    </row>
    <row r="355" spans="6:6" x14ac:dyDescent="0.3">
      <c r="F355" s="10"/>
    </row>
    <row r="356" spans="6:6" x14ac:dyDescent="0.3">
      <c r="F356" s="10"/>
    </row>
    <row r="357" spans="6:6" x14ac:dyDescent="0.3">
      <c r="F357" s="10"/>
    </row>
    <row r="358" spans="6:6" x14ac:dyDescent="0.3">
      <c r="F358" s="10"/>
    </row>
    <row r="359" spans="6:6" x14ac:dyDescent="0.3">
      <c r="F359" s="10"/>
    </row>
    <row r="360" spans="6:6" x14ac:dyDescent="0.3">
      <c r="F360" s="10"/>
    </row>
    <row r="361" spans="6:6" x14ac:dyDescent="0.3">
      <c r="F361" s="10"/>
    </row>
    <row r="362" spans="6:6" x14ac:dyDescent="0.3">
      <c r="F362" s="10"/>
    </row>
    <row r="363" spans="6:6" x14ac:dyDescent="0.3">
      <c r="F363" s="10"/>
    </row>
    <row r="364" spans="6:6" x14ac:dyDescent="0.3">
      <c r="F364" s="10"/>
    </row>
    <row r="365" spans="6:6" x14ac:dyDescent="0.3">
      <c r="F365" s="10"/>
    </row>
    <row r="366" spans="6:6" x14ac:dyDescent="0.3">
      <c r="F366" s="10"/>
    </row>
    <row r="367" spans="6:6" x14ac:dyDescent="0.3">
      <c r="F367" s="10"/>
    </row>
    <row r="368" spans="6:6" x14ac:dyDescent="0.3">
      <c r="F368" s="10"/>
    </row>
    <row r="369" spans="6:6" x14ac:dyDescent="0.3">
      <c r="F369" s="10"/>
    </row>
    <row r="370" spans="6:6" x14ac:dyDescent="0.3">
      <c r="F370" s="10"/>
    </row>
    <row r="371" spans="6:6" x14ac:dyDescent="0.3">
      <c r="F371" s="10"/>
    </row>
    <row r="372" spans="6:6" x14ac:dyDescent="0.3">
      <c r="F372" s="10"/>
    </row>
    <row r="373" spans="6:6" x14ac:dyDescent="0.3">
      <c r="F373" s="10"/>
    </row>
    <row r="374" spans="6:6" x14ac:dyDescent="0.3">
      <c r="F374" s="10"/>
    </row>
    <row r="375" spans="6:6" x14ac:dyDescent="0.3">
      <c r="F375" s="10"/>
    </row>
    <row r="376" spans="6:6" x14ac:dyDescent="0.3">
      <c r="F376" s="10"/>
    </row>
    <row r="377" spans="6:6" x14ac:dyDescent="0.3">
      <c r="F377" s="10"/>
    </row>
    <row r="378" spans="6:6" x14ac:dyDescent="0.3">
      <c r="F378" s="10"/>
    </row>
    <row r="379" spans="6:6" x14ac:dyDescent="0.3">
      <c r="F379" s="10"/>
    </row>
    <row r="380" spans="6:6" x14ac:dyDescent="0.3">
      <c r="F380" s="10"/>
    </row>
    <row r="381" spans="6:6" x14ac:dyDescent="0.3">
      <c r="F381" s="10"/>
    </row>
    <row r="382" spans="6:6" x14ac:dyDescent="0.3">
      <c r="F382" s="10"/>
    </row>
    <row r="383" spans="6:6" x14ac:dyDescent="0.3">
      <c r="F383" s="10"/>
    </row>
    <row r="384" spans="6:6" x14ac:dyDescent="0.3">
      <c r="F384" s="10"/>
    </row>
    <row r="385" spans="6:6" x14ac:dyDescent="0.3">
      <c r="F385" s="10"/>
    </row>
    <row r="386" spans="6:6" x14ac:dyDescent="0.3">
      <c r="F386" s="10"/>
    </row>
    <row r="387" spans="6:6" x14ac:dyDescent="0.3">
      <c r="F387" s="10"/>
    </row>
    <row r="388" spans="6:6" x14ac:dyDescent="0.3">
      <c r="F388" s="10"/>
    </row>
    <row r="389" spans="6:6" x14ac:dyDescent="0.3">
      <c r="F389" s="10"/>
    </row>
    <row r="390" spans="6:6" x14ac:dyDescent="0.3">
      <c r="F390" s="10"/>
    </row>
    <row r="391" spans="6:6" x14ac:dyDescent="0.3">
      <c r="F391" s="10"/>
    </row>
    <row r="392" spans="6:6" x14ac:dyDescent="0.3">
      <c r="F392" s="10"/>
    </row>
    <row r="393" spans="6:6" x14ac:dyDescent="0.3">
      <c r="F393" s="10"/>
    </row>
    <row r="394" spans="6:6" x14ac:dyDescent="0.3">
      <c r="F394" s="10"/>
    </row>
    <row r="395" spans="6:6" x14ac:dyDescent="0.3">
      <c r="F395" s="10"/>
    </row>
    <row r="396" spans="6:6" x14ac:dyDescent="0.3">
      <c r="F396" s="10"/>
    </row>
    <row r="397" spans="6:6" x14ac:dyDescent="0.3">
      <c r="F397" s="10"/>
    </row>
    <row r="398" spans="6:6" x14ac:dyDescent="0.3">
      <c r="F398" s="10"/>
    </row>
    <row r="399" spans="6:6" x14ac:dyDescent="0.3">
      <c r="F399" s="10"/>
    </row>
    <row r="400" spans="6:6" x14ac:dyDescent="0.3">
      <c r="F400" s="10"/>
    </row>
    <row r="401" spans="6:6" x14ac:dyDescent="0.3">
      <c r="F401" s="10"/>
    </row>
    <row r="402" spans="6:6" x14ac:dyDescent="0.3">
      <c r="F402" s="10"/>
    </row>
    <row r="403" spans="6:6" x14ac:dyDescent="0.3">
      <c r="F403" s="10"/>
    </row>
    <row r="404" spans="6:6" x14ac:dyDescent="0.3">
      <c r="F404" s="10"/>
    </row>
    <row r="405" spans="6:6" x14ac:dyDescent="0.3">
      <c r="F405" s="10"/>
    </row>
    <row r="406" spans="6:6" x14ac:dyDescent="0.3">
      <c r="F406" s="10"/>
    </row>
    <row r="407" spans="6:6" x14ac:dyDescent="0.3">
      <c r="F407" s="10"/>
    </row>
    <row r="408" spans="6:6" x14ac:dyDescent="0.3">
      <c r="F408" s="10"/>
    </row>
    <row r="409" spans="6:6" x14ac:dyDescent="0.3">
      <c r="F409" s="10"/>
    </row>
    <row r="410" spans="6:6" x14ac:dyDescent="0.3">
      <c r="F410" s="10"/>
    </row>
    <row r="411" spans="6:6" x14ac:dyDescent="0.3">
      <c r="F411" s="10"/>
    </row>
    <row r="412" spans="6:6" x14ac:dyDescent="0.3">
      <c r="F412" s="10"/>
    </row>
    <row r="413" spans="6:6" x14ac:dyDescent="0.3">
      <c r="F413" s="10"/>
    </row>
    <row r="414" spans="6:6" x14ac:dyDescent="0.3">
      <c r="F414" s="10"/>
    </row>
    <row r="415" spans="6:6" x14ac:dyDescent="0.3">
      <c r="F415" s="10"/>
    </row>
    <row r="416" spans="6:6" x14ac:dyDescent="0.3">
      <c r="F416" s="10"/>
    </row>
    <row r="417" spans="6:6" x14ac:dyDescent="0.3">
      <c r="F417" s="10"/>
    </row>
    <row r="418" spans="6:6" x14ac:dyDescent="0.3">
      <c r="F418" s="10"/>
    </row>
    <row r="419" spans="6:6" x14ac:dyDescent="0.3">
      <c r="F419" s="10"/>
    </row>
    <row r="420" spans="6:6" x14ac:dyDescent="0.3">
      <c r="F420" s="10"/>
    </row>
    <row r="421" spans="6:6" x14ac:dyDescent="0.3">
      <c r="F421" s="10"/>
    </row>
    <row r="422" spans="6:6" x14ac:dyDescent="0.3">
      <c r="F422" s="10"/>
    </row>
    <row r="423" spans="6:6" x14ac:dyDescent="0.3">
      <c r="F423" s="10"/>
    </row>
    <row r="424" spans="6:6" x14ac:dyDescent="0.3">
      <c r="F424" s="10"/>
    </row>
    <row r="425" spans="6:6" x14ac:dyDescent="0.3">
      <c r="F425" s="10"/>
    </row>
    <row r="426" spans="6:6" x14ac:dyDescent="0.3">
      <c r="F426" s="10"/>
    </row>
    <row r="427" spans="6:6" x14ac:dyDescent="0.3">
      <c r="F427" s="10"/>
    </row>
    <row r="428" spans="6:6" x14ac:dyDescent="0.3">
      <c r="F428" s="10"/>
    </row>
    <row r="429" spans="6:6" x14ac:dyDescent="0.3">
      <c r="F429" s="10"/>
    </row>
    <row r="430" spans="6:6" x14ac:dyDescent="0.3">
      <c r="F430" s="10"/>
    </row>
    <row r="431" spans="6:6" x14ac:dyDescent="0.3">
      <c r="F431" s="10"/>
    </row>
    <row r="432" spans="6:6" x14ac:dyDescent="0.3">
      <c r="F432" s="10"/>
    </row>
    <row r="433" spans="6:6" x14ac:dyDescent="0.3">
      <c r="F433" s="10"/>
    </row>
    <row r="434" spans="6:6" x14ac:dyDescent="0.3">
      <c r="F434" s="10"/>
    </row>
    <row r="435" spans="6:6" x14ac:dyDescent="0.3">
      <c r="F435" s="10"/>
    </row>
    <row r="436" spans="6:6" x14ac:dyDescent="0.3">
      <c r="F436" s="10"/>
    </row>
    <row r="437" spans="6:6" x14ac:dyDescent="0.3">
      <c r="F437" s="10"/>
    </row>
    <row r="438" spans="6:6" x14ac:dyDescent="0.3">
      <c r="F438" s="10"/>
    </row>
    <row r="439" spans="6:6" x14ac:dyDescent="0.3">
      <c r="F439" s="10"/>
    </row>
    <row r="440" spans="6:6" x14ac:dyDescent="0.3">
      <c r="F440" s="10"/>
    </row>
    <row r="441" spans="6:6" x14ac:dyDescent="0.3">
      <c r="F441" s="10"/>
    </row>
    <row r="442" spans="6:6" x14ac:dyDescent="0.3">
      <c r="F442" s="10"/>
    </row>
    <row r="443" spans="6:6" x14ac:dyDescent="0.3">
      <c r="F443" s="10"/>
    </row>
    <row r="444" spans="6:6" x14ac:dyDescent="0.3">
      <c r="F444" s="10"/>
    </row>
    <row r="445" spans="6:6" x14ac:dyDescent="0.3">
      <c r="F445" s="10"/>
    </row>
    <row r="446" spans="6:6" x14ac:dyDescent="0.3">
      <c r="F446" s="10"/>
    </row>
    <row r="447" spans="6:6" x14ac:dyDescent="0.3">
      <c r="F447" s="10"/>
    </row>
    <row r="448" spans="6:6" x14ac:dyDescent="0.3">
      <c r="F448" s="10"/>
    </row>
    <row r="449" spans="6:6" x14ac:dyDescent="0.3">
      <c r="F449" s="10"/>
    </row>
    <row r="450" spans="6:6" x14ac:dyDescent="0.3">
      <c r="F450" s="10"/>
    </row>
    <row r="451" spans="6:6" x14ac:dyDescent="0.3">
      <c r="F451" s="10"/>
    </row>
    <row r="452" spans="6:6" x14ac:dyDescent="0.3">
      <c r="F452" s="10"/>
    </row>
    <row r="453" spans="6:6" x14ac:dyDescent="0.3">
      <c r="F453" s="10"/>
    </row>
    <row r="454" spans="6:6" x14ac:dyDescent="0.3">
      <c r="F454" s="10"/>
    </row>
    <row r="455" spans="6:6" x14ac:dyDescent="0.3">
      <c r="F455" s="10"/>
    </row>
    <row r="456" spans="6:6" x14ac:dyDescent="0.3">
      <c r="F456" s="10"/>
    </row>
    <row r="457" spans="6:6" x14ac:dyDescent="0.3">
      <c r="F457" s="10"/>
    </row>
    <row r="458" spans="6:6" x14ac:dyDescent="0.3">
      <c r="F458" s="10"/>
    </row>
    <row r="459" spans="6:6" x14ac:dyDescent="0.3">
      <c r="F459" s="10"/>
    </row>
    <row r="460" spans="6:6" x14ac:dyDescent="0.3">
      <c r="F460" s="10"/>
    </row>
    <row r="461" spans="6:6" x14ac:dyDescent="0.3">
      <c r="F461" s="10"/>
    </row>
    <row r="462" spans="6:6" x14ac:dyDescent="0.3">
      <c r="F462" s="10"/>
    </row>
    <row r="463" spans="6:6" x14ac:dyDescent="0.3">
      <c r="F463" s="10"/>
    </row>
    <row r="464" spans="6:6" x14ac:dyDescent="0.3">
      <c r="F464" s="10"/>
    </row>
    <row r="465" spans="6:6" x14ac:dyDescent="0.3">
      <c r="F465" s="10"/>
    </row>
    <row r="466" spans="6:6" x14ac:dyDescent="0.3">
      <c r="F466" s="10"/>
    </row>
    <row r="467" spans="6:6" x14ac:dyDescent="0.3">
      <c r="F467" s="10"/>
    </row>
    <row r="468" spans="6:6" x14ac:dyDescent="0.3">
      <c r="F468" s="10"/>
    </row>
    <row r="469" spans="6:6" x14ac:dyDescent="0.3">
      <c r="F469" s="10"/>
    </row>
    <row r="470" spans="6:6" x14ac:dyDescent="0.3">
      <c r="F470" s="10"/>
    </row>
    <row r="471" spans="6:6" x14ac:dyDescent="0.3">
      <c r="F471" s="10"/>
    </row>
    <row r="472" spans="6:6" x14ac:dyDescent="0.3">
      <c r="F472" s="10"/>
    </row>
    <row r="473" spans="6:6" x14ac:dyDescent="0.3">
      <c r="F473" s="10"/>
    </row>
    <row r="474" spans="6:6" x14ac:dyDescent="0.3">
      <c r="F474" s="10"/>
    </row>
    <row r="475" spans="6:6" x14ac:dyDescent="0.3">
      <c r="F475" s="10"/>
    </row>
    <row r="476" spans="6:6" x14ac:dyDescent="0.3">
      <c r="F476" s="10"/>
    </row>
    <row r="477" spans="6:6" x14ac:dyDescent="0.3">
      <c r="F477" s="10"/>
    </row>
    <row r="478" spans="6:6" x14ac:dyDescent="0.3">
      <c r="F478" s="10"/>
    </row>
    <row r="479" spans="6:6" x14ac:dyDescent="0.3">
      <c r="F479" s="10"/>
    </row>
    <row r="480" spans="6:6" x14ac:dyDescent="0.3">
      <c r="F480" s="10"/>
    </row>
    <row r="481" spans="6:6" x14ac:dyDescent="0.3">
      <c r="F481" s="10"/>
    </row>
    <row r="482" spans="6:6" x14ac:dyDescent="0.3">
      <c r="F482" s="10"/>
    </row>
    <row r="483" spans="6:6" x14ac:dyDescent="0.3">
      <c r="F483" s="10"/>
    </row>
    <row r="484" spans="6:6" x14ac:dyDescent="0.3">
      <c r="F484" s="10"/>
    </row>
    <row r="485" spans="6:6" x14ac:dyDescent="0.3">
      <c r="F485" s="10"/>
    </row>
    <row r="486" spans="6:6" x14ac:dyDescent="0.3">
      <c r="F486" s="10"/>
    </row>
    <row r="487" spans="6:6" x14ac:dyDescent="0.3">
      <c r="F487" s="10"/>
    </row>
    <row r="488" spans="6:6" x14ac:dyDescent="0.3">
      <c r="F488" s="10"/>
    </row>
    <row r="489" spans="6:6" x14ac:dyDescent="0.3">
      <c r="F489" s="10"/>
    </row>
    <row r="490" spans="6:6" x14ac:dyDescent="0.3">
      <c r="F490" s="10"/>
    </row>
    <row r="491" spans="6:6" x14ac:dyDescent="0.3">
      <c r="F491" s="10"/>
    </row>
    <row r="492" spans="6:6" x14ac:dyDescent="0.3">
      <c r="F492" s="10"/>
    </row>
    <row r="493" spans="6:6" x14ac:dyDescent="0.3">
      <c r="F493" s="10"/>
    </row>
    <row r="494" spans="6:6" x14ac:dyDescent="0.3">
      <c r="F494" s="10"/>
    </row>
    <row r="495" spans="6:6" x14ac:dyDescent="0.3">
      <c r="F495" s="10"/>
    </row>
    <row r="496" spans="6:6" x14ac:dyDescent="0.3">
      <c r="F496" s="10"/>
    </row>
    <row r="497" spans="6:6" x14ac:dyDescent="0.3">
      <c r="F497" s="10"/>
    </row>
    <row r="498" spans="6:6" x14ac:dyDescent="0.3">
      <c r="F498" s="10"/>
    </row>
    <row r="499" spans="6:6" x14ac:dyDescent="0.3">
      <c r="F499" s="10"/>
    </row>
    <row r="500" spans="6:6" x14ac:dyDescent="0.3">
      <c r="F500" s="10"/>
    </row>
    <row r="501" spans="6:6" x14ac:dyDescent="0.3">
      <c r="F501" s="10"/>
    </row>
    <row r="502" spans="6:6" x14ac:dyDescent="0.3">
      <c r="F502" s="10"/>
    </row>
    <row r="503" spans="6:6" x14ac:dyDescent="0.3">
      <c r="F503" s="10"/>
    </row>
    <row r="504" spans="6:6" x14ac:dyDescent="0.3">
      <c r="F504" s="10"/>
    </row>
    <row r="505" spans="6:6" x14ac:dyDescent="0.3">
      <c r="F505" s="10"/>
    </row>
    <row r="506" spans="6:6" x14ac:dyDescent="0.3">
      <c r="F506" s="10"/>
    </row>
    <row r="507" spans="6:6" x14ac:dyDescent="0.3">
      <c r="F507" s="10"/>
    </row>
    <row r="508" spans="6:6" x14ac:dyDescent="0.3">
      <c r="F508" s="10"/>
    </row>
    <row r="509" spans="6:6" x14ac:dyDescent="0.3">
      <c r="F509" s="10"/>
    </row>
    <row r="510" spans="6:6" x14ac:dyDescent="0.3">
      <c r="F510" s="10"/>
    </row>
    <row r="511" spans="6:6" x14ac:dyDescent="0.3">
      <c r="F511" s="10"/>
    </row>
    <row r="512" spans="6:6" x14ac:dyDescent="0.3">
      <c r="F512" s="10"/>
    </row>
    <row r="513" spans="6:6" x14ac:dyDescent="0.3">
      <c r="F513" s="10"/>
    </row>
    <row r="514" spans="6:6" x14ac:dyDescent="0.3">
      <c r="F514" s="10"/>
    </row>
    <row r="515" spans="6:6" x14ac:dyDescent="0.3">
      <c r="F515" s="10"/>
    </row>
    <row r="516" spans="6:6" x14ac:dyDescent="0.3">
      <c r="F516" s="10"/>
    </row>
    <row r="517" spans="6:6" x14ac:dyDescent="0.3">
      <c r="F517" s="10"/>
    </row>
    <row r="518" spans="6:6" x14ac:dyDescent="0.3">
      <c r="F518" s="10"/>
    </row>
    <row r="519" spans="6:6" x14ac:dyDescent="0.3">
      <c r="F519" s="10"/>
    </row>
    <row r="520" spans="6:6" x14ac:dyDescent="0.3">
      <c r="F520" s="10"/>
    </row>
    <row r="521" spans="6:6" x14ac:dyDescent="0.3">
      <c r="F521" s="10"/>
    </row>
    <row r="522" spans="6:6" x14ac:dyDescent="0.3">
      <c r="F522" s="10"/>
    </row>
    <row r="523" spans="6:6" x14ac:dyDescent="0.3">
      <c r="F523" s="10"/>
    </row>
    <row r="524" spans="6:6" x14ac:dyDescent="0.3">
      <c r="F524" s="10"/>
    </row>
    <row r="525" spans="6:6" x14ac:dyDescent="0.3">
      <c r="F525" s="10"/>
    </row>
    <row r="526" spans="6:6" x14ac:dyDescent="0.3">
      <c r="F526" s="10"/>
    </row>
    <row r="527" spans="6:6" x14ac:dyDescent="0.3">
      <c r="F527" s="10"/>
    </row>
    <row r="528" spans="6:6" x14ac:dyDescent="0.3">
      <c r="F528" s="10"/>
    </row>
    <row r="529" spans="6:6" x14ac:dyDescent="0.3">
      <c r="F529" s="10"/>
    </row>
    <row r="530" spans="6:6" x14ac:dyDescent="0.3">
      <c r="F530" s="10"/>
    </row>
    <row r="531" spans="6:6" x14ac:dyDescent="0.3">
      <c r="F531" s="10"/>
    </row>
    <row r="532" spans="6:6" x14ac:dyDescent="0.3">
      <c r="F532" s="10"/>
    </row>
    <row r="533" spans="6:6" x14ac:dyDescent="0.3">
      <c r="F533" s="10"/>
    </row>
    <row r="534" spans="6:6" x14ac:dyDescent="0.3">
      <c r="F534" s="10"/>
    </row>
    <row r="535" spans="6:6" x14ac:dyDescent="0.3">
      <c r="F535" s="10"/>
    </row>
    <row r="536" spans="6:6" x14ac:dyDescent="0.3">
      <c r="F536" s="10"/>
    </row>
    <row r="537" spans="6:6" x14ac:dyDescent="0.3">
      <c r="F537" s="10"/>
    </row>
    <row r="538" spans="6:6" x14ac:dyDescent="0.3">
      <c r="F538" s="10"/>
    </row>
    <row r="539" spans="6:6" x14ac:dyDescent="0.3">
      <c r="F539" s="10"/>
    </row>
    <row r="540" spans="6:6" x14ac:dyDescent="0.3">
      <c r="F540" s="10"/>
    </row>
    <row r="541" spans="6:6" x14ac:dyDescent="0.3">
      <c r="F541" s="10"/>
    </row>
    <row r="542" spans="6:6" x14ac:dyDescent="0.3">
      <c r="F542" s="10"/>
    </row>
    <row r="543" spans="6:6" x14ac:dyDescent="0.3">
      <c r="F543" s="10"/>
    </row>
    <row r="544" spans="6:6" x14ac:dyDescent="0.3">
      <c r="F544" s="10"/>
    </row>
    <row r="545" spans="6:6" x14ac:dyDescent="0.3">
      <c r="F545" s="10"/>
    </row>
    <row r="546" spans="6:6" x14ac:dyDescent="0.3">
      <c r="F546" s="10"/>
    </row>
    <row r="547" spans="6:6" x14ac:dyDescent="0.3">
      <c r="F547" s="10"/>
    </row>
    <row r="548" spans="6:6" x14ac:dyDescent="0.3">
      <c r="F548" s="10"/>
    </row>
    <row r="549" spans="6:6" x14ac:dyDescent="0.3">
      <c r="F549" s="10"/>
    </row>
    <row r="550" spans="6:6" x14ac:dyDescent="0.3">
      <c r="F550" s="10"/>
    </row>
    <row r="551" spans="6:6" x14ac:dyDescent="0.3">
      <c r="F551" s="10"/>
    </row>
    <row r="552" spans="6:6" x14ac:dyDescent="0.3">
      <c r="F552" s="10"/>
    </row>
    <row r="553" spans="6:6" x14ac:dyDescent="0.3">
      <c r="F553" s="10"/>
    </row>
    <row r="554" spans="6:6" x14ac:dyDescent="0.3">
      <c r="F554" s="10"/>
    </row>
    <row r="555" spans="6:6" x14ac:dyDescent="0.3">
      <c r="F555" s="10"/>
    </row>
    <row r="556" spans="6:6" x14ac:dyDescent="0.3">
      <c r="F556" s="10"/>
    </row>
    <row r="557" spans="6:6" x14ac:dyDescent="0.3">
      <c r="F557" s="10"/>
    </row>
    <row r="558" spans="6:6" x14ac:dyDescent="0.3">
      <c r="F558" s="10"/>
    </row>
    <row r="559" spans="6:6" x14ac:dyDescent="0.3">
      <c r="F559" s="10"/>
    </row>
    <row r="560" spans="6:6" x14ac:dyDescent="0.3">
      <c r="F560" s="10"/>
    </row>
    <row r="561" spans="6:6" x14ac:dyDescent="0.3">
      <c r="F561" s="10"/>
    </row>
    <row r="562" spans="6:6" x14ac:dyDescent="0.3">
      <c r="F562" s="10"/>
    </row>
    <row r="563" spans="6:6" x14ac:dyDescent="0.3">
      <c r="F563" s="10"/>
    </row>
    <row r="564" spans="6:6" x14ac:dyDescent="0.3">
      <c r="F564" s="10"/>
    </row>
    <row r="565" spans="6:6" x14ac:dyDescent="0.3">
      <c r="F565" s="10"/>
    </row>
    <row r="566" spans="6:6" x14ac:dyDescent="0.3">
      <c r="F566" s="10"/>
    </row>
    <row r="567" spans="6:6" x14ac:dyDescent="0.3">
      <c r="F567" s="10"/>
    </row>
    <row r="568" spans="6:6" x14ac:dyDescent="0.3">
      <c r="F568" s="10"/>
    </row>
    <row r="569" spans="6:6" x14ac:dyDescent="0.3">
      <c r="F569" s="10"/>
    </row>
    <row r="570" spans="6:6" x14ac:dyDescent="0.3">
      <c r="F570" s="10"/>
    </row>
    <row r="571" spans="6:6" x14ac:dyDescent="0.3">
      <c r="F571" s="10"/>
    </row>
    <row r="572" spans="6:6" x14ac:dyDescent="0.3">
      <c r="F572" s="10"/>
    </row>
    <row r="573" spans="6:6" x14ac:dyDescent="0.3">
      <c r="F573" s="10"/>
    </row>
    <row r="574" spans="6:6" x14ac:dyDescent="0.3">
      <c r="F574" s="10"/>
    </row>
    <row r="575" spans="6:6" x14ac:dyDescent="0.3">
      <c r="F575" s="10"/>
    </row>
    <row r="576" spans="6:6" x14ac:dyDescent="0.3">
      <c r="F576" s="10"/>
    </row>
    <row r="577" spans="6:6" x14ac:dyDescent="0.3">
      <c r="F577" s="10"/>
    </row>
    <row r="578" spans="6:6" x14ac:dyDescent="0.3">
      <c r="F578" s="10"/>
    </row>
    <row r="579" spans="6:6" x14ac:dyDescent="0.3">
      <c r="F579" s="10"/>
    </row>
    <row r="580" spans="6:6" x14ac:dyDescent="0.3">
      <c r="F580" s="10"/>
    </row>
    <row r="581" spans="6:6" x14ac:dyDescent="0.3">
      <c r="F581" s="10"/>
    </row>
    <row r="582" spans="6:6" x14ac:dyDescent="0.3">
      <c r="F582" s="10"/>
    </row>
    <row r="583" spans="6:6" x14ac:dyDescent="0.3">
      <c r="F583" s="10"/>
    </row>
    <row r="584" spans="6:6" x14ac:dyDescent="0.3">
      <c r="F584" s="10"/>
    </row>
    <row r="585" spans="6:6" x14ac:dyDescent="0.3">
      <c r="F585" s="10"/>
    </row>
    <row r="586" spans="6:6" x14ac:dyDescent="0.3">
      <c r="F586" s="10"/>
    </row>
    <row r="587" spans="6:6" x14ac:dyDescent="0.3">
      <c r="F587" s="10"/>
    </row>
    <row r="588" spans="6:6" x14ac:dyDescent="0.3">
      <c r="F588" s="10"/>
    </row>
    <row r="589" spans="6:6" x14ac:dyDescent="0.3">
      <c r="F589" s="10"/>
    </row>
    <row r="590" spans="6:6" x14ac:dyDescent="0.3">
      <c r="F590" s="10"/>
    </row>
    <row r="591" spans="6:6" x14ac:dyDescent="0.3">
      <c r="F591" s="10"/>
    </row>
    <row r="592" spans="6:6" x14ac:dyDescent="0.3">
      <c r="F592" s="10"/>
    </row>
    <row r="593" spans="6:6" x14ac:dyDescent="0.3">
      <c r="F593" s="10"/>
    </row>
    <row r="594" spans="6:6" x14ac:dyDescent="0.3">
      <c r="F594" s="10"/>
    </row>
    <row r="595" spans="6:6" x14ac:dyDescent="0.3">
      <c r="F595" s="10"/>
    </row>
    <row r="596" spans="6:6" x14ac:dyDescent="0.3">
      <c r="F596" s="10"/>
    </row>
    <row r="597" spans="6:6" x14ac:dyDescent="0.3">
      <c r="F597" s="10"/>
    </row>
    <row r="598" spans="6:6" x14ac:dyDescent="0.3">
      <c r="F598" s="10"/>
    </row>
    <row r="599" spans="6:6" x14ac:dyDescent="0.3">
      <c r="F599" s="10"/>
    </row>
    <row r="600" spans="6:6" x14ac:dyDescent="0.3">
      <c r="F600" s="10"/>
    </row>
    <row r="601" spans="6:6" x14ac:dyDescent="0.3">
      <c r="F601" s="10"/>
    </row>
    <row r="602" spans="6:6" x14ac:dyDescent="0.3">
      <c r="F602" s="10"/>
    </row>
    <row r="603" spans="6:6" x14ac:dyDescent="0.3">
      <c r="F603" s="10"/>
    </row>
    <row r="604" spans="6:6" x14ac:dyDescent="0.3">
      <c r="F604" s="10"/>
    </row>
    <row r="605" spans="6:6" x14ac:dyDescent="0.3">
      <c r="F605" s="10"/>
    </row>
    <row r="606" spans="6:6" x14ac:dyDescent="0.3">
      <c r="F606" s="10"/>
    </row>
    <row r="607" spans="6:6" x14ac:dyDescent="0.3">
      <c r="F607" s="10"/>
    </row>
    <row r="608" spans="6:6" x14ac:dyDescent="0.3">
      <c r="F608" s="10"/>
    </row>
    <row r="609" spans="6:6" x14ac:dyDescent="0.3">
      <c r="F609" s="10"/>
    </row>
    <row r="610" spans="6:6" x14ac:dyDescent="0.3">
      <c r="F610" s="10"/>
    </row>
    <row r="611" spans="6:6" x14ac:dyDescent="0.3">
      <c r="F611" s="10"/>
    </row>
    <row r="612" spans="6:6" x14ac:dyDescent="0.3">
      <c r="F612" s="10"/>
    </row>
    <row r="613" spans="6:6" x14ac:dyDescent="0.3">
      <c r="F613" s="10"/>
    </row>
    <row r="614" spans="6:6" x14ac:dyDescent="0.3">
      <c r="F614" s="10"/>
    </row>
    <row r="615" spans="6:6" x14ac:dyDescent="0.3">
      <c r="F615" s="10"/>
    </row>
    <row r="616" spans="6:6" x14ac:dyDescent="0.3">
      <c r="F616" s="10"/>
    </row>
    <row r="617" spans="6:6" x14ac:dyDescent="0.3">
      <c r="F617" s="10"/>
    </row>
    <row r="618" spans="6:6" x14ac:dyDescent="0.3">
      <c r="F618" s="10"/>
    </row>
    <row r="619" spans="6:6" x14ac:dyDescent="0.3">
      <c r="F619" s="10"/>
    </row>
    <row r="620" spans="6:6" x14ac:dyDescent="0.3">
      <c r="F620" s="10"/>
    </row>
    <row r="621" spans="6:6" x14ac:dyDescent="0.3">
      <c r="F621" s="10"/>
    </row>
    <row r="622" spans="6:6" x14ac:dyDescent="0.3">
      <c r="F622" s="10"/>
    </row>
    <row r="623" spans="6:6" x14ac:dyDescent="0.3">
      <c r="F623" s="10"/>
    </row>
    <row r="624" spans="6:6" x14ac:dyDescent="0.3">
      <c r="F624" s="10"/>
    </row>
    <row r="625" spans="6:6" x14ac:dyDescent="0.3">
      <c r="F625" s="10"/>
    </row>
    <row r="626" spans="6:6" x14ac:dyDescent="0.3">
      <c r="F626" s="10"/>
    </row>
    <row r="627" spans="6:6" x14ac:dyDescent="0.3">
      <c r="F627" s="10"/>
    </row>
    <row r="628" spans="6:6" x14ac:dyDescent="0.3">
      <c r="F628" s="10"/>
    </row>
    <row r="629" spans="6:6" x14ac:dyDescent="0.3">
      <c r="F629" s="10"/>
    </row>
    <row r="630" spans="6:6" x14ac:dyDescent="0.3">
      <c r="F630" s="10"/>
    </row>
    <row r="631" spans="6:6" x14ac:dyDescent="0.3">
      <c r="F631" s="10"/>
    </row>
    <row r="632" spans="6:6" x14ac:dyDescent="0.3">
      <c r="F632" s="10"/>
    </row>
    <row r="633" spans="6:6" x14ac:dyDescent="0.3">
      <c r="F633" s="10"/>
    </row>
    <row r="634" spans="6:6" x14ac:dyDescent="0.3">
      <c r="F634" s="10"/>
    </row>
    <row r="635" spans="6:6" x14ac:dyDescent="0.3">
      <c r="F635" s="10"/>
    </row>
    <row r="636" spans="6:6" x14ac:dyDescent="0.3">
      <c r="F636" s="10"/>
    </row>
    <row r="637" spans="6:6" x14ac:dyDescent="0.3">
      <c r="F637" s="10"/>
    </row>
    <row r="638" spans="6:6" x14ac:dyDescent="0.3">
      <c r="F638" s="10"/>
    </row>
    <row r="639" spans="6:6" x14ac:dyDescent="0.3">
      <c r="F639" s="10"/>
    </row>
    <row r="640" spans="6:6" x14ac:dyDescent="0.3">
      <c r="F640" s="10"/>
    </row>
    <row r="641" spans="6:6" x14ac:dyDescent="0.3">
      <c r="F641" s="10"/>
    </row>
    <row r="642" spans="6:6" x14ac:dyDescent="0.3">
      <c r="F642" s="10"/>
    </row>
    <row r="643" spans="6:6" x14ac:dyDescent="0.3">
      <c r="F643" s="10"/>
    </row>
    <row r="644" spans="6:6" x14ac:dyDescent="0.3">
      <c r="F644" s="10"/>
    </row>
    <row r="645" spans="6:6" x14ac:dyDescent="0.3">
      <c r="F645" s="10"/>
    </row>
    <row r="646" spans="6:6" x14ac:dyDescent="0.3">
      <c r="F646" s="10"/>
    </row>
    <row r="647" spans="6:6" x14ac:dyDescent="0.3">
      <c r="F647" s="10"/>
    </row>
    <row r="648" spans="6:6" x14ac:dyDescent="0.3">
      <c r="F648" s="10"/>
    </row>
    <row r="649" spans="6:6" x14ac:dyDescent="0.3">
      <c r="F649" s="10"/>
    </row>
    <row r="650" spans="6:6" x14ac:dyDescent="0.3">
      <c r="F650" s="10"/>
    </row>
    <row r="651" spans="6:6" x14ac:dyDescent="0.3">
      <c r="F651" s="10"/>
    </row>
    <row r="652" spans="6:6" x14ac:dyDescent="0.3">
      <c r="F652" s="10"/>
    </row>
    <row r="653" spans="6:6" x14ac:dyDescent="0.3">
      <c r="F653" s="10"/>
    </row>
    <row r="654" spans="6:6" x14ac:dyDescent="0.3">
      <c r="F654" s="10"/>
    </row>
    <row r="655" spans="6:6" x14ac:dyDescent="0.3">
      <c r="F655" s="10"/>
    </row>
    <row r="656" spans="6:6" x14ac:dyDescent="0.3">
      <c r="F656" s="10"/>
    </row>
    <row r="657" spans="6:6" x14ac:dyDescent="0.3">
      <c r="F657" s="10"/>
    </row>
    <row r="658" spans="6:6" x14ac:dyDescent="0.3">
      <c r="F658" s="10"/>
    </row>
    <row r="659" spans="6:6" x14ac:dyDescent="0.3">
      <c r="F659" s="10"/>
    </row>
    <row r="660" spans="6:6" x14ac:dyDescent="0.3">
      <c r="F660" s="10"/>
    </row>
    <row r="661" spans="6:6" x14ac:dyDescent="0.3">
      <c r="F661" s="10"/>
    </row>
    <row r="662" spans="6:6" x14ac:dyDescent="0.3">
      <c r="F662" s="10"/>
    </row>
    <row r="663" spans="6:6" x14ac:dyDescent="0.3">
      <c r="F663" s="10"/>
    </row>
    <row r="664" spans="6:6" x14ac:dyDescent="0.3">
      <c r="F664" s="10"/>
    </row>
    <row r="665" spans="6:6" x14ac:dyDescent="0.3">
      <c r="F665" s="10"/>
    </row>
    <row r="666" spans="6:6" x14ac:dyDescent="0.3">
      <c r="F666" s="10"/>
    </row>
    <row r="667" spans="6:6" x14ac:dyDescent="0.3">
      <c r="F667" s="10"/>
    </row>
    <row r="668" spans="6:6" x14ac:dyDescent="0.3">
      <c r="F668" s="10"/>
    </row>
    <row r="669" spans="6:6" x14ac:dyDescent="0.3">
      <c r="F669" s="10"/>
    </row>
    <row r="670" spans="6:6" x14ac:dyDescent="0.3">
      <c r="F670" s="10"/>
    </row>
    <row r="671" spans="6:6" x14ac:dyDescent="0.3">
      <c r="F671" s="10"/>
    </row>
    <row r="672" spans="6:6" x14ac:dyDescent="0.3">
      <c r="F672" s="10"/>
    </row>
    <row r="673" spans="6:6" x14ac:dyDescent="0.3">
      <c r="F673" s="10"/>
    </row>
    <row r="674" spans="6:6" x14ac:dyDescent="0.3">
      <c r="F674" s="10"/>
    </row>
    <row r="675" spans="6:6" x14ac:dyDescent="0.3">
      <c r="F675" s="10"/>
    </row>
    <row r="676" spans="6:6" x14ac:dyDescent="0.3">
      <c r="F676" s="10"/>
    </row>
    <row r="677" spans="6:6" x14ac:dyDescent="0.3">
      <c r="F677" s="10"/>
    </row>
    <row r="678" spans="6:6" x14ac:dyDescent="0.3">
      <c r="F678" s="10"/>
    </row>
    <row r="679" spans="6:6" x14ac:dyDescent="0.3">
      <c r="F679" s="10"/>
    </row>
    <row r="680" spans="6:6" x14ac:dyDescent="0.3">
      <c r="F680" s="10"/>
    </row>
    <row r="681" spans="6:6" x14ac:dyDescent="0.3">
      <c r="F681" s="10"/>
    </row>
    <row r="682" spans="6:6" x14ac:dyDescent="0.3">
      <c r="F682" s="10"/>
    </row>
    <row r="683" spans="6:6" x14ac:dyDescent="0.3">
      <c r="F683" s="10"/>
    </row>
    <row r="684" spans="6:6" x14ac:dyDescent="0.3">
      <c r="F684" s="10"/>
    </row>
    <row r="685" spans="6:6" x14ac:dyDescent="0.3">
      <c r="F685" s="10"/>
    </row>
    <row r="686" spans="6:6" x14ac:dyDescent="0.3">
      <c r="F686" s="10"/>
    </row>
    <row r="687" spans="6:6" x14ac:dyDescent="0.3">
      <c r="F687" s="10"/>
    </row>
    <row r="688" spans="6:6" x14ac:dyDescent="0.3">
      <c r="F688" s="10"/>
    </row>
    <row r="689" spans="6:6" x14ac:dyDescent="0.3">
      <c r="F689" s="10"/>
    </row>
    <row r="690" spans="6:6" x14ac:dyDescent="0.3">
      <c r="F690" s="10"/>
    </row>
    <row r="691" spans="6:6" x14ac:dyDescent="0.3">
      <c r="F691" s="10"/>
    </row>
    <row r="692" spans="6:6" x14ac:dyDescent="0.3">
      <c r="F692" s="10"/>
    </row>
    <row r="693" spans="6:6" x14ac:dyDescent="0.3">
      <c r="F693" s="10"/>
    </row>
    <row r="694" spans="6:6" x14ac:dyDescent="0.3">
      <c r="F694" s="10"/>
    </row>
    <row r="695" spans="6:6" x14ac:dyDescent="0.3">
      <c r="F695" s="10"/>
    </row>
    <row r="696" spans="6:6" x14ac:dyDescent="0.3">
      <c r="F696" s="10"/>
    </row>
    <row r="697" spans="6:6" x14ac:dyDescent="0.3">
      <c r="F697" s="10"/>
    </row>
    <row r="698" spans="6:6" x14ac:dyDescent="0.3">
      <c r="F698" s="10"/>
    </row>
    <row r="699" spans="6:6" x14ac:dyDescent="0.3">
      <c r="F699" s="10"/>
    </row>
    <row r="700" spans="6:6" x14ac:dyDescent="0.3">
      <c r="F700" s="10"/>
    </row>
    <row r="701" spans="6:6" x14ac:dyDescent="0.3">
      <c r="F701" s="10"/>
    </row>
    <row r="702" spans="6:6" x14ac:dyDescent="0.3">
      <c r="F702" s="10"/>
    </row>
    <row r="703" spans="6:6" x14ac:dyDescent="0.3">
      <c r="F703" s="10"/>
    </row>
    <row r="704" spans="6:6" x14ac:dyDescent="0.3">
      <c r="F704" s="10"/>
    </row>
    <row r="705" spans="6:6" x14ac:dyDescent="0.3">
      <c r="F705" s="10"/>
    </row>
    <row r="706" spans="6:6" x14ac:dyDescent="0.3">
      <c r="F706" s="10"/>
    </row>
    <row r="707" spans="6:6" x14ac:dyDescent="0.3">
      <c r="F707" s="10"/>
    </row>
    <row r="708" spans="6:6" x14ac:dyDescent="0.3">
      <c r="F708" s="10"/>
    </row>
    <row r="709" spans="6:6" x14ac:dyDescent="0.3">
      <c r="F709" s="10"/>
    </row>
    <row r="710" spans="6:6" x14ac:dyDescent="0.3">
      <c r="F710" s="10"/>
    </row>
    <row r="711" spans="6:6" x14ac:dyDescent="0.3">
      <c r="F711" s="10"/>
    </row>
    <row r="712" spans="6:6" x14ac:dyDescent="0.3">
      <c r="F712" s="10"/>
    </row>
    <row r="713" spans="6:6" x14ac:dyDescent="0.3">
      <c r="F713" s="10"/>
    </row>
    <row r="714" spans="6:6" x14ac:dyDescent="0.3">
      <c r="F714" s="10"/>
    </row>
    <row r="715" spans="6:6" x14ac:dyDescent="0.3">
      <c r="F715" s="10"/>
    </row>
    <row r="716" spans="6:6" x14ac:dyDescent="0.3">
      <c r="F716" s="10"/>
    </row>
    <row r="717" spans="6:6" x14ac:dyDescent="0.3">
      <c r="F717" s="10"/>
    </row>
    <row r="718" spans="6:6" x14ac:dyDescent="0.3">
      <c r="F718" s="10"/>
    </row>
    <row r="719" spans="6:6" x14ac:dyDescent="0.3">
      <c r="F719" s="10"/>
    </row>
    <row r="720" spans="6:6" x14ac:dyDescent="0.3">
      <c r="F720" s="10"/>
    </row>
    <row r="721" spans="6:6" x14ac:dyDescent="0.3">
      <c r="F721" s="10"/>
    </row>
    <row r="722" spans="6:6" x14ac:dyDescent="0.3">
      <c r="F722" s="10"/>
    </row>
    <row r="723" spans="6:6" x14ac:dyDescent="0.3">
      <c r="F723" s="10"/>
    </row>
    <row r="724" spans="6:6" x14ac:dyDescent="0.3">
      <c r="F724" s="10"/>
    </row>
    <row r="725" spans="6:6" x14ac:dyDescent="0.3">
      <c r="F725" s="10"/>
    </row>
    <row r="726" spans="6:6" x14ac:dyDescent="0.3">
      <c r="F726" s="10"/>
    </row>
    <row r="727" spans="6:6" x14ac:dyDescent="0.3">
      <c r="F727" s="10"/>
    </row>
    <row r="728" spans="6:6" x14ac:dyDescent="0.3">
      <c r="F728" s="10"/>
    </row>
    <row r="729" spans="6:6" x14ac:dyDescent="0.3">
      <c r="F729" s="10"/>
    </row>
    <row r="730" spans="6:6" x14ac:dyDescent="0.3">
      <c r="F730" s="10"/>
    </row>
    <row r="731" spans="6:6" x14ac:dyDescent="0.3">
      <c r="F731" s="10"/>
    </row>
    <row r="732" spans="6:6" x14ac:dyDescent="0.3">
      <c r="F732" s="10"/>
    </row>
    <row r="733" spans="6:6" x14ac:dyDescent="0.3">
      <c r="F733" s="10"/>
    </row>
    <row r="734" spans="6:6" x14ac:dyDescent="0.3">
      <c r="F734" s="10"/>
    </row>
    <row r="735" spans="6:6" x14ac:dyDescent="0.3">
      <c r="F735" s="10"/>
    </row>
    <row r="736" spans="6:6" x14ac:dyDescent="0.3">
      <c r="F736" s="10"/>
    </row>
    <row r="737" spans="6:6" x14ac:dyDescent="0.3">
      <c r="F737" s="10"/>
    </row>
    <row r="738" spans="6:6" x14ac:dyDescent="0.3">
      <c r="F738" s="10"/>
    </row>
    <row r="739" spans="6:6" x14ac:dyDescent="0.3">
      <c r="F739" s="10"/>
    </row>
    <row r="740" spans="6:6" x14ac:dyDescent="0.3">
      <c r="F740" s="10"/>
    </row>
    <row r="741" spans="6:6" x14ac:dyDescent="0.3">
      <c r="F741" s="10"/>
    </row>
    <row r="742" spans="6:6" x14ac:dyDescent="0.3">
      <c r="F742" s="10"/>
    </row>
    <row r="743" spans="6:6" x14ac:dyDescent="0.3">
      <c r="F743"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topLeftCell="H1" workbookViewId="0">
      <pane ySplit="1" topLeftCell="A2" activePane="bottomLeft" state="frozen"/>
      <selection pane="bottomLeft" activeCell="I15" sqref="I15"/>
    </sheetView>
  </sheetViews>
  <sheetFormatPr defaultRowHeight="14.4" x14ac:dyDescent="0.3"/>
  <cols>
    <col min="1" max="1" width="255.6640625" bestFit="1" customWidth="1"/>
    <col min="2" max="2" width="8.44140625" style="5" bestFit="1" customWidth="1"/>
    <col min="3" max="3" width="255.6640625" bestFit="1" customWidth="1"/>
    <col min="4" max="4" width="8.44140625" style="5" bestFit="1" customWidth="1"/>
    <col min="5" max="5" width="255.6640625" bestFit="1" customWidth="1"/>
    <col min="6" max="6" width="8.44140625" style="5" bestFit="1" customWidth="1"/>
    <col min="7" max="7" width="255.6640625" bestFit="1" customWidth="1"/>
    <col min="8" max="8" width="8.44140625" style="5" bestFit="1" customWidth="1"/>
    <col min="9" max="9" width="244.44140625" bestFit="1" customWidth="1"/>
  </cols>
  <sheetData>
    <row r="1" spans="1:9" x14ac:dyDescent="0.3">
      <c r="A1" s="6" t="s">
        <v>1460</v>
      </c>
      <c r="B1" s="4"/>
      <c r="C1" s="6" t="s">
        <v>17</v>
      </c>
      <c r="D1" s="4"/>
      <c r="E1" s="13" t="s">
        <v>2958</v>
      </c>
      <c r="F1" s="4"/>
      <c r="G1" s="13" t="s">
        <v>3354</v>
      </c>
      <c r="H1" s="4"/>
      <c r="I1" s="13" t="s">
        <v>3355</v>
      </c>
    </row>
    <row r="2" spans="1:9" x14ac:dyDescent="0.3">
      <c r="A2" s="8" t="s">
        <v>18</v>
      </c>
      <c r="C2" s="8" t="s">
        <v>18</v>
      </c>
      <c r="E2" s="8" t="s">
        <v>18</v>
      </c>
      <c r="G2" s="8" t="s">
        <v>18</v>
      </c>
      <c r="I2" s="8" t="s">
        <v>18</v>
      </c>
    </row>
    <row r="3" spans="1:9" x14ac:dyDescent="0.3">
      <c r="A3" s="8" t="s">
        <v>26</v>
      </c>
      <c r="C3" s="8" t="s">
        <v>26</v>
      </c>
      <c r="E3" s="8" t="s">
        <v>26</v>
      </c>
      <c r="G3" s="8" t="s">
        <v>26</v>
      </c>
      <c r="I3" s="8" t="s">
        <v>26</v>
      </c>
    </row>
    <row r="4" spans="1:9" x14ac:dyDescent="0.3">
      <c r="A4" s="8" t="s">
        <v>27</v>
      </c>
      <c r="C4" s="8" t="s">
        <v>27</v>
      </c>
      <c r="E4" s="8" t="s">
        <v>27</v>
      </c>
      <c r="G4" s="8" t="s">
        <v>27</v>
      </c>
      <c r="I4" s="8" t="s">
        <v>27</v>
      </c>
    </row>
    <row r="5" spans="1:9" x14ac:dyDescent="0.3">
      <c r="A5" s="8" t="s">
        <v>28</v>
      </c>
      <c r="C5" s="8" t="s">
        <v>28</v>
      </c>
      <c r="E5" s="8" t="s">
        <v>28</v>
      </c>
      <c r="G5" s="8" t="s">
        <v>28</v>
      </c>
      <c r="I5" s="8" t="s">
        <v>28</v>
      </c>
    </row>
    <row r="6" spans="1:9" x14ac:dyDescent="0.3">
      <c r="A6" s="8" t="s">
        <v>2869</v>
      </c>
      <c r="C6" s="8" t="s">
        <v>2869</v>
      </c>
      <c r="E6" s="8" t="s">
        <v>2869</v>
      </c>
      <c r="G6" s="8" t="s">
        <v>2869</v>
      </c>
      <c r="I6" s="8" t="s">
        <v>2869</v>
      </c>
    </row>
    <row r="7" spans="1:9" x14ac:dyDescent="0.3">
      <c r="A7" s="8" t="s">
        <v>2870</v>
      </c>
      <c r="C7" s="8" t="s">
        <v>3365</v>
      </c>
      <c r="E7" s="8" t="s">
        <v>3881</v>
      </c>
      <c r="G7" s="8" t="s">
        <v>2876</v>
      </c>
      <c r="I7" s="8" t="s">
        <v>3305</v>
      </c>
    </row>
    <row r="8" spans="1:9" x14ac:dyDescent="0.3">
      <c r="A8" s="8" t="s">
        <v>19</v>
      </c>
      <c r="C8" s="8" t="s">
        <v>19</v>
      </c>
      <c r="E8" s="8" t="s">
        <v>19</v>
      </c>
      <c r="G8" s="8" t="s">
        <v>19</v>
      </c>
      <c r="I8" s="8" t="s">
        <v>19</v>
      </c>
    </row>
    <row r="9" spans="1:9" x14ac:dyDescent="0.3">
      <c r="A9" s="8" t="s">
        <v>30</v>
      </c>
      <c r="C9" s="8" t="s">
        <v>30</v>
      </c>
      <c r="E9" s="8" t="s">
        <v>30</v>
      </c>
      <c r="G9" s="8" t="s">
        <v>30</v>
      </c>
      <c r="I9" s="8" t="s">
        <v>30</v>
      </c>
    </row>
    <row r="10" spans="1:9" x14ac:dyDescent="0.3">
      <c r="A10" s="8" t="s">
        <v>2871</v>
      </c>
      <c r="C10" s="8" t="s">
        <v>2871</v>
      </c>
      <c r="E10" s="8" t="s">
        <v>2871</v>
      </c>
      <c r="G10" s="8" t="s">
        <v>2871</v>
      </c>
      <c r="I10" s="8" t="s">
        <v>2871</v>
      </c>
    </row>
    <row r="11" spans="1:9" x14ac:dyDescent="0.3">
      <c r="A11" s="8" t="s">
        <v>2872</v>
      </c>
      <c r="C11" s="8" t="s">
        <v>3366</v>
      </c>
      <c r="E11" s="8" t="s">
        <v>3882</v>
      </c>
      <c r="G11" s="8" t="s">
        <v>4071</v>
      </c>
      <c r="I11" s="8" t="s">
        <v>3306</v>
      </c>
    </row>
    <row r="12" spans="1:9" x14ac:dyDescent="0.3">
      <c r="A12" s="8" t="s">
        <v>19</v>
      </c>
      <c r="C12" s="8" t="s">
        <v>19</v>
      </c>
      <c r="E12" s="8" t="s">
        <v>19</v>
      </c>
      <c r="G12" s="8" t="s">
        <v>19</v>
      </c>
      <c r="I12" s="8" t="s">
        <v>19</v>
      </c>
    </row>
    <row r="13" spans="1:9" x14ac:dyDescent="0.3">
      <c r="A13" s="8" t="s">
        <v>32</v>
      </c>
      <c r="C13" s="8" t="s">
        <v>32</v>
      </c>
      <c r="E13" s="8" t="s">
        <v>32</v>
      </c>
      <c r="G13" s="8" t="s">
        <v>32</v>
      </c>
      <c r="I13" s="8" t="s">
        <v>32</v>
      </c>
    </row>
    <row r="14" spans="1:9" x14ac:dyDescent="0.3">
      <c r="A14" s="8" t="s">
        <v>2873</v>
      </c>
      <c r="C14" s="8" t="s">
        <v>2873</v>
      </c>
      <c r="E14" s="8" t="s">
        <v>2873</v>
      </c>
      <c r="G14" s="8" t="s">
        <v>2873</v>
      </c>
      <c r="I14" s="8" t="s">
        <v>2873</v>
      </c>
    </row>
    <row r="15" spans="1:9" x14ac:dyDescent="0.3">
      <c r="A15" s="8" t="s">
        <v>2874</v>
      </c>
      <c r="C15" s="8" t="s">
        <v>3367</v>
      </c>
      <c r="E15" s="8" t="s">
        <v>3307</v>
      </c>
      <c r="G15" s="8" t="s">
        <v>3307</v>
      </c>
      <c r="I15" s="8" t="s">
        <v>3307</v>
      </c>
    </row>
    <row r="16" spans="1:9" x14ac:dyDescent="0.3">
      <c r="A16" s="8" t="s">
        <v>20</v>
      </c>
      <c r="C16" s="8" t="s">
        <v>20</v>
      </c>
      <c r="E16" s="8" t="s">
        <v>20</v>
      </c>
      <c r="G16" s="8" t="s">
        <v>20</v>
      </c>
      <c r="I16" s="8" t="s">
        <v>20</v>
      </c>
    </row>
    <row r="17" spans="1:9" x14ac:dyDescent="0.3">
      <c r="A17" s="8" t="s">
        <v>21</v>
      </c>
      <c r="C17" s="8" t="s">
        <v>21</v>
      </c>
      <c r="E17" s="8" t="s">
        <v>21</v>
      </c>
      <c r="G17" s="8" t="s">
        <v>21</v>
      </c>
      <c r="I17" s="8" t="s">
        <v>21</v>
      </c>
    </row>
    <row r="18" spans="1:9" x14ac:dyDescent="0.3">
      <c r="A18" s="8" t="s">
        <v>34</v>
      </c>
      <c r="C18" s="8" t="s">
        <v>34</v>
      </c>
      <c r="E18" s="8" t="s">
        <v>34</v>
      </c>
      <c r="G18" s="8" t="s">
        <v>34</v>
      </c>
      <c r="I18" s="8" t="s">
        <v>34</v>
      </c>
    </row>
    <row r="19" spans="1:9" x14ac:dyDescent="0.3">
      <c r="A19" s="8" t="s">
        <v>35</v>
      </c>
      <c r="C19" s="8" t="s">
        <v>35</v>
      </c>
      <c r="E19" s="8" t="s">
        <v>35</v>
      </c>
      <c r="G19" s="8" t="s">
        <v>35</v>
      </c>
      <c r="I19" s="8" t="s">
        <v>35</v>
      </c>
    </row>
    <row r="20" spans="1:9" x14ac:dyDescent="0.3">
      <c r="A20" s="8" t="s">
        <v>2875</v>
      </c>
      <c r="C20" s="8" t="s">
        <v>2875</v>
      </c>
      <c r="E20" s="8" t="s">
        <v>2875</v>
      </c>
      <c r="G20" s="8" t="s">
        <v>2875</v>
      </c>
      <c r="I20" s="8" t="s">
        <v>2875</v>
      </c>
    </row>
    <row r="21" spans="1:9" x14ac:dyDescent="0.3">
      <c r="A21" s="8" t="s">
        <v>2876</v>
      </c>
      <c r="C21" s="8" t="s">
        <v>3365</v>
      </c>
      <c r="E21" s="8" t="s">
        <v>2922</v>
      </c>
      <c r="G21" s="8" t="s">
        <v>4072</v>
      </c>
      <c r="I21" s="8" t="s">
        <v>3308</v>
      </c>
    </row>
    <row r="22" spans="1:9" x14ac:dyDescent="0.3">
      <c r="A22" s="8" t="s">
        <v>19</v>
      </c>
      <c r="C22" s="8" t="s">
        <v>19</v>
      </c>
      <c r="E22" s="8" t="s">
        <v>19</v>
      </c>
      <c r="G22" s="8" t="s">
        <v>19</v>
      </c>
      <c r="I22" s="8" t="s">
        <v>19</v>
      </c>
    </row>
    <row r="23" spans="1:9" x14ac:dyDescent="0.3">
      <c r="A23" s="8" t="s">
        <v>37</v>
      </c>
      <c r="C23" s="8" t="s">
        <v>37</v>
      </c>
      <c r="E23" s="8" t="s">
        <v>37</v>
      </c>
      <c r="G23" s="8" t="s">
        <v>37</v>
      </c>
      <c r="I23" s="8" t="s">
        <v>37</v>
      </c>
    </row>
    <row r="24" spans="1:9" x14ac:dyDescent="0.3">
      <c r="A24" s="8" t="s">
        <v>2877</v>
      </c>
      <c r="C24" s="8" t="s">
        <v>2877</v>
      </c>
      <c r="E24" s="8" t="s">
        <v>2877</v>
      </c>
      <c r="G24" s="8" t="s">
        <v>2877</v>
      </c>
      <c r="I24" s="8" t="s">
        <v>2877</v>
      </c>
    </row>
    <row r="25" spans="1:9" x14ac:dyDescent="0.3">
      <c r="A25" s="8" t="s">
        <v>2878</v>
      </c>
      <c r="C25" s="8" t="s">
        <v>3368</v>
      </c>
      <c r="E25" s="8" t="s">
        <v>3883</v>
      </c>
      <c r="G25" s="8" t="s">
        <v>4073</v>
      </c>
      <c r="I25" s="8" t="s">
        <v>3309</v>
      </c>
    </row>
    <row r="26" spans="1:9" x14ac:dyDescent="0.3">
      <c r="A26" s="8" t="s">
        <v>19</v>
      </c>
      <c r="C26" s="8" t="s">
        <v>19</v>
      </c>
      <c r="E26" s="8" t="s">
        <v>19</v>
      </c>
      <c r="G26" s="8" t="s">
        <v>19</v>
      </c>
      <c r="I26" s="8" t="s">
        <v>19</v>
      </c>
    </row>
    <row r="27" spans="1:9" x14ac:dyDescent="0.3">
      <c r="A27" s="8" t="s">
        <v>39</v>
      </c>
      <c r="C27" s="8" t="s">
        <v>39</v>
      </c>
      <c r="E27" s="8" t="s">
        <v>39</v>
      </c>
      <c r="G27" s="8" t="s">
        <v>39</v>
      </c>
      <c r="I27" s="8" t="s">
        <v>39</v>
      </c>
    </row>
    <row r="28" spans="1:9" x14ac:dyDescent="0.3">
      <c r="A28" s="8" t="s">
        <v>2879</v>
      </c>
      <c r="C28" s="8" t="s">
        <v>2879</v>
      </c>
      <c r="E28" s="8" t="s">
        <v>2879</v>
      </c>
      <c r="G28" s="8" t="s">
        <v>2879</v>
      </c>
      <c r="I28" s="8" t="s">
        <v>2879</v>
      </c>
    </row>
    <row r="29" spans="1:9" x14ac:dyDescent="0.3">
      <c r="A29" s="8" t="s">
        <v>2880</v>
      </c>
      <c r="C29" s="8" t="s">
        <v>3369</v>
      </c>
      <c r="E29" s="8" t="s">
        <v>3884</v>
      </c>
      <c r="G29" s="8" t="s">
        <v>4074</v>
      </c>
      <c r="I29" s="8" t="s">
        <v>3310</v>
      </c>
    </row>
    <row r="30" spans="1:9" x14ac:dyDescent="0.3">
      <c r="A30" s="8" t="s">
        <v>19</v>
      </c>
      <c r="C30" s="8" t="s">
        <v>19</v>
      </c>
      <c r="E30" s="8" t="s">
        <v>19</v>
      </c>
      <c r="G30" s="8" t="s">
        <v>19</v>
      </c>
      <c r="I30" s="8" t="s">
        <v>19</v>
      </c>
    </row>
    <row r="31" spans="1:9" x14ac:dyDescent="0.3">
      <c r="A31" s="8" t="s">
        <v>40</v>
      </c>
      <c r="C31" s="8" t="s">
        <v>40</v>
      </c>
      <c r="E31" s="8" t="s">
        <v>40</v>
      </c>
      <c r="G31" s="8" t="s">
        <v>40</v>
      </c>
      <c r="I31" s="8" t="s">
        <v>40</v>
      </c>
    </row>
    <row r="32" spans="1:9" x14ac:dyDescent="0.3">
      <c r="A32" s="8" t="s">
        <v>2881</v>
      </c>
      <c r="C32" s="8" t="s">
        <v>2881</v>
      </c>
      <c r="E32" s="8" t="s">
        <v>2881</v>
      </c>
      <c r="G32" s="8" t="s">
        <v>2881</v>
      </c>
      <c r="I32" s="8" t="s">
        <v>2881</v>
      </c>
    </row>
    <row r="33" spans="1:9" x14ac:dyDescent="0.3">
      <c r="A33" s="8" t="s">
        <v>2876</v>
      </c>
      <c r="C33" s="8" t="s">
        <v>3370</v>
      </c>
      <c r="E33" s="8" t="s">
        <v>3052</v>
      </c>
      <c r="G33" s="8" t="s">
        <v>3889</v>
      </c>
      <c r="I33" s="8" t="s">
        <v>2876</v>
      </c>
    </row>
    <row r="34" spans="1:9" x14ac:dyDescent="0.3">
      <c r="A34" s="8" t="s">
        <v>19</v>
      </c>
      <c r="C34" s="8" t="s">
        <v>19</v>
      </c>
      <c r="E34" s="8" t="s">
        <v>19</v>
      </c>
      <c r="G34" s="8" t="s">
        <v>19</v>
      </c>
      <c r="I34" s="8" t="s">
        <v>19</v>
      </c>
    </row>
    <row r="35" spans="1:9" x14ac:dyDescent="0.3">
      <c r="A35" s="8" t="s">
        <v>42</v>
      </c>
      <c r="C35" s="8" t="s">
        <v>42</v>
      </c>
      <c r="E35" s="8" t="s">
        <v>42</v>
      </c>
      <c r="G35" s="8" t="s">
        <v>42</v>
      </c>
      <c r="I35" s="8" t="s">
        <v>42</v>
      </c>
    </row>
    <row r="36" spans="1:9" x14ac:dyDescent="0.3">
      <c r="A36" s="8" t="s">
        <v>2882</v>
      </c>
      <c r="C36" s="8" t="s">
        <v>2882</v>
      </c>
      <c r="E36" s="8" t="s">
        <v>2882</v>
      </c>
      <c r="G36" s="8" t="s">
        <v>2882</v>
      </c>
      <c r="I36" s="8" t="s">
        <v>2882</v>
      </c>
    </row>
    <row r="37" spans="1:9" x14ac:dyDescent="0.3">
      <c r="A37" s="8" t="s">
        <v>2883</v>
      </c>
      <c r="C37" s="8" t="s">
        <v>3371</v>
      </c>
      <c r="E37" s="8" t="s">
        <v>3053</v>
      </c>
      <c r="G37" s="8" t="s">
        <v>4075</v>
      </c>
      <c r="I37" s="8" t="s">
        <v>3311</v>
      </c>
    </row>
    <row r="38" spans="1:9" x14ac:dyDescent="0.3">
      <c r="A38" s="8" t="s">
        <v>20</v>
      </c>
      <c r="C38" s="8" t="s">
        <v>20</v>
      </c>
      <c r="E38" s="8" t="s">
        <v>20</v>
      </c>
      <c r="G38" s="8" t="s">
        <v>20</v>
      </c>
      <c r="I38" s="8" t="s">
        <v>20</v>
      </c>
    </row>
    <row r="39" spans="1:9" x14ac:dyDescent="0.3">
      <c r="A39" s="8" t="s">
        <v>21</v>
      </c>
      <c r="C39" s="8" t="s">
        <v>21</v>
      </c>
      <c r="E39" s="8" t="s">
        <v>21</v>
      </c>
      <c r="G39" s="8" t="s">
        <v>21</v>
      </c>
      <c r="I39" s="8" t="s">
        <v>21</v>
      </c>
    </row>
    <row r="40" spans="1:9" x14ac:dyDescent="0.3">
      <c r="A40" s="8" t="s">
        <v>43</v>
      </c>
      <c r="C40" s="8" t="s">
        <v>43</v>
      </c>
      <c r="E40" s="8" t="s">
        <v>43</v>
      </c>
      <c r="G40" s="8" t="s">
        <v>43</v>
      </c>
      <c r="I40" s="8" t="s">
        <v>43</v>
      </c>
    </row>
    <row r="41" spans="1:9" x14ac:dyDescent="0.3">
      <c r="A41" s="8" t="s">
        <v>44</v>
      </c>
      <c r="C41" s="8" t="s">
        <v>44</v>
      </c>
      <c r="E41" s="8" t="s">
        <v>44</v>
      </c>
      <c r="G41" s="8" t="s">
        <v>44</v>
      </c>
      <c r="I41" s="8" t="s">
        <v>44</v>
      </c>
    </row>
    <row r="42" spans="1:9" x14ac:dyDescent="0.3">
      <c r="A42" s="8" t="s">
        <v>2884</v>
      </c>
      <c r="C42" s="8" t="s">
        <v>2884</v>
      </c>
      <c r="E42" s="8" t="s">
        <v>2884</v>
      </c>
      <c r="G42" s="8" t="s">
        <v>2884</v>
      </c>
      <c r="I42" s="8" t="s">
        <v>2884</v>
      </c>
    </row>
    <row r="43" spans="1:9" x14ac:dyDescent="0.3">
      <c r="A43" s="8" t="s">
        <v>2885</v>
      </c>
      <c r="C43" s="8" t="s">
        <v>3372</v>
      </c>
      <c r="E43" s="8" t="s">
        <v>3885</v>
      </c>
      <c r="G43" s="8" t="s">
        <v>4076</v>
      </c>
      <c r="I43" s="8" t="s">
        <v>3312</v>
      </c>
    </row>
    <row r="44" spans="1:9" x14ac:dyDescent="0.3">
      <c r="A44" s="8" t="s">
        <v>20</v>
      </c>
      <c r="C44" s="8" t="s">
        <v>20</v>
      </c>
      <c r="E44" s="8" t="s">
        <v>20</v>
      </c>
      <c r="G44" s="8" t="s">
        <v>20</v>
      </c>
      <c r="I44" s="8" t="s">
        <v>20</v>
      </c>
    </row>
    <row r="45" spans="1:9" x14ac:dyDescent="0.3">
      <c r="A45" s="8" t="s">
        <v>22</v>
      </c>
      <c r="C45" s="8" t="s">
        <v>22</v>
      </c>
      <c r="E45" s="8" t="s">
        <v>22</v>
      </c>
      <c r="G45" s="8" t="s">
        <v>22</v>
      </c>
      <c r="I45" s="8" t="s">
        <v>22</v>
      </c>
    </row>
    <row r="46" spans="1:9" x14ac:dyDescent="0.3">
      <c r="A46" s="8" t="s">
        <v>23</v>
      </c>
      <c r="C46" s="8" t="s">
        <v>23</v>
      </c>
      <c r="E46" s="8" t="s">
        <v>23</v>
      </c>
      <c r="G46" s="8" t="s">
        <v>23</v>
      </c>
      <c r="I46" s="8" t="s">
        <v>23</v>
      </c>
    </row>
    <row r="47" spans="1:9" x14ac:dyDescent="0.3">
      <c r="A47" s="8" t="s">
        <v>46</v>
      </c>
      <c r="C47" s="8" t="s">
        <v>46</v>
      </c>
      <c r="E47" s="8" t="s">
        <v>46</v>
      </c>
      <c r="G47" s="8" t="s">
        <v>46</v>
      </c>
      <c r="I47" s="8" t="s">
        <v>46</v>
      </c>
    </row>
    <row r="48" spans="1:9" x14ac:dyDescent="0.3">
      <c r="A48" s="8" t="s">
        <v>27</v>
      </c>
      <c r="C48" s="8" t="s">
        <v>27</v>
      </c>
      <c r="E48" s="8" t="s">
        <v>27</v>
      </c>
      <c r="G48" s="8" t="s">
        <v>27</v>
      </c>
      <c r="I48" s="8" t="s">
        <v>27</v>
      </c>
    </row>
    <row r="49" spans="1:9" x14ac:dyDescent="0.3">
      <c r="A49" s="8" t="s">
        <v>28</v>
      </c>
      <c r="C49" s="8" t="s">
        <v>28</v>
      </c>
      <c r="E49" s="8" t="s">
        <v>28</v>
      </c>
      <c r="G49" s="8" t="s">
        <v>28</v>
      </c>
      <c r="I49" s="8" t="s">
        <v>28</v>
      </c>
    </row>
    <row r="50" spans="1:9" x14ac:dyDescent="0.3">
      <c r="A50" s="8" t="s">
        <v>2886</v>
      </c>
      <c r="C50" s="8" t="s">
        <v>2886</v>
      </c>
      <c r="E50" s="8" t="s">
        <v>2886</v>
      </c>
      <c r="G50" s="8" t="s">
        <v>2886</v>
      </c>
      <c r="I50" s="8" t="s">
        <v>2886</v>
      </c>
    </row>
    <row r="51" spans="1:9" x14ac:dyDescent="0.3">
      <c r="A51" s="8" t="s">
        <v>2876</v>
      </c>
      <c r="C51" s="8" t="s">
        <v>3365</v>
      </c>
      <c r="E51" s="8" t="s">
        <v>2876</v>
      </c>
      <c r="G51" s="8" t="s">
        <v>2876</v>
      </c>
      <c r="I51" s="8" t="s">
        <v>3313</v>
      </c>
    </row>
    <row r="52" spans="1:9" x14ac:dyDescent="0.3">
      <c r="A52" s="8" t="s">
        <v>19</v>
      </c>
      <c r="C52" s="8" t="s">
        <v>19</v>
      </c>
      <c r="E52" s="8" t="s">
        <v>19</v>
      </c>
      <c r="G52" s="8" t="s">
        <v>19</v>
      </c>
      <c r="I52" s="8" t="s">
        <v>19</v>
      </c>
    </row>
    <row r="53" spans="1:9" x14ac:dyDescent="0.3">
      <c r="A53" s="8" t="s">
        <v>30</v>
      </c>
      <c r="C53" s="8" t="s">
        <v>30</v>
      </c>
      <c r="E53" s="8" t="s">
        <v>30</v>
      </c>
      <c r="G53" s="8" t="s">
        <v>30</v>
      </c>
      <c r="I53" s="8" t="s">
        <v>30</v>
      </c>
    </row>
    <row r="54" spans="1:9" x14ac:dyDescent="0.3">
      <c r="A54" s="8" t="s">
        <v>2887</v>
      </c>
      <c r="C54" s="8" t="s">
        <v>2887</v>
      </c>
      <c r="E54" s="8" t="s">
        <v>2887</v>
      </c>
      <c r="G54" s="8" t="s">
        <v>2887</v>
      </c>
      <c r="I54" s="8" t="s">
        <v>2887</v>
      </c>
    </row>
    <row r="55" spans="1:9" x14ac:dyDescent="0.3">
      <c r="A55" s="8" t="s">
        <v>2888</v>
      </c>
      <c r="C55" s="8" t="s">
        <v>3373</v>
      </c>
      <c r="E55" s="8" t="s">
        <v>3886</v>
      </c>
      <c r="G55" s="8" t="s">
        <v>4077</v>
      </c>
      <c r="I55" s="8" t="s">
        <v>2876</v>
      </c>
    </row>
    <row r="56" spans="1:9" x14ac:dyDescent="0.3">
      <c r="A56" s="8" t="s">
        <v>19</v>
      </c>
      <c r="C56" s="8" t="s">
        <v>19</v>
      </c>
      <c r="E56" s="8" t="s">
        <v>19</v>
      </c>
      <c r="G56" s="8" t="s">
        <v>19</v>
      </c>
      <c r="I56" s="8" t="s">
        <v>19</v>
      </c>
    </row>
    <row r="57" spans="1:9" x14ac:dyDescent="0.3">
      <c r="A57" s="8" t="s">
        <v>32</v>
      </c>
      <c r="C57" s="8" t="s">
        <v>32</v>
      </c>
      <c r="E57" s="8" t="s">
        <v>32</v>
      </c>
      <c r="G57" s="8" t="s">
        <v>32</v>
      </c>
      <c r="I57" s="8" t="s">
        <v>32</v>
      </c>
    </row>
    <row r="58" spans="1:9" x14ac:dyDescent="0.3">
      <c r="A58" s="8" t="s">
        <v>2889</v>
      </c>
      <c r="C58" s="8" t="s">
        <v>2889</v>
      </c>
      <c r="E58" s="8" t="s">
        <v>2889</v>
      </c>
      <c r="G58" s="8" t="s">
        <v>2889</v>
      </c>
      <c r="I58" s="8" t="s">
        <v>2889</v>
      </c>
    </row>
    <row r="59" spans="1:9" x14ac:dyDescent="0.3">
      <c r="A59" s="8" t="s">
        <v>2876</v>
      </c>
      <c r="C59" s="8" t="s">
        <v>3374</v>
      </c>
      <c r="E59" s="8" t="s">
        <v>2876</v>
      </c>
      <c r="G59" s="8" t="s">
        <v>2876</v>
      </c>
      <c r="I59" s="8" t="s">
        <v>2876</v>
      </c>
    </row>
    <row r="60" spans="1:9" x14ac:dyDescent="0.3">
      <c r="A60" s="8" t="s">
        <v>20</v>
      </c>
      <c r="C60" s="8" t="s">
        <v>20</v>
      </c>
      <c r="E60" s="8" t="s">
        <v>20</v>
      </c>
      <c r="G60" s="8" t="s">
        <v>20</v>
      </c>
      <c r="I60" s="8" t="s">
        <v>20</v>
      </c>
    </row>
    <row r="61" spans="1:9" x14ac:dyDescent="0.3">
      <c r="A61" s="8" t="s">
        <v>21</v>
      </c>
      <c r="C61" s="8" t="s">
        <v>21</v>
      </c>
      <c r="E61" s="8" t="s">
        <v>21</v>
      </c>
      <c r="G61" s="8" t="s">
        <v>21</v>
      </c>
      <c r="I61" s="8" t="s">
        <v>21</v>
      </c>
    </row>
    <row r="62" spans="1:9" x14ac:dyDescent="0.3">
      <c r="A62" s="8" t="s">
        <v>34</v>
      </c>
      <c r="C62" s="8" t="s">
        <v>34</v>
      </c>
      <c r="E62" s="8" t="s">
        <v>34</v>
      </c>
      <c r="G62" s="8" t="s">
        <v>34</v>
      </c>
      <c r="I62" s="8" t="s">
        <v>34</v>
      </c>
    </row>
    <row r="63" spans="1:9" x14ac:dyDescent="0.3">
      <c r="A63" s="8" t="s">
        <v>35</v>
      </c>
      <c r="C63" s="8" t="s">
        <v>35</v>
      </c>
      <c r="E63" s="8" t="s">
        <v>35</v>
      </c>
      <c r="G63" s="8" t="s">
        <v>35</v>
      </c>
      <c r="I63" s="8" t="s">
        <v>35</v>
      </c>
    </row>
    <row r="64" spans="1:9" x14ac:dyDescent="0.3">
      <c r="A64" s="8" t="s">
        <v>2890</v>
      </c>
      <c r="C64" s="8" t="s">
        <v>2890</v>
      </c>
      <c r="E64" s="8" t="s">
        <v>2890</v>
      </c>
      <c r="G64" s="8" t="s">
        <v>2890</v>
      </c>
      <c r="I64" s="8" t="s">
        <v>2890</v>
      </c>
    </row>
    <row r="65" spans="1:9" x14ac:dyDescent="0.3">
      <c r="A65" s="8" t="s">
        <v>2876</v>
      </c>
      <c r="C65" s="8" t="s">
        <v>3365</v>
      </c>
      <c r="E65" s="8" t="s">
        <v>2876</v>
      </c>
      <c r="G65" s="8" t="s">
        <v>2876</v>
      </c>
      <c r="I65" s="8" t="s">
        <v>2876</v>
      </c>
    </row>
    <row r="66" spans="1:9" x14ac:dyDescent="0.3">
      <c r="A66" s="8" t="s">
        <v>19</v>
      </c>
      <c r="C66" s="8" t="s">
        <v>19</v>
      </c>
      <c r="E66" s="8" t="s">
        <v>19</v>
      </c>
      <c r="G66" s="8" t="s">
        <v>19</v>
      </c>
      <c r="I66" s="8" t="s">
        <v>19</v>
      </c>
    </row>
    <row r="67" spans="1:9" x14ac:dyDescent="0.3">
      <c r="A67" s="8" t="s">
        <v>37</v>
      </c>
      <c r="C67" s="8" t="s">
        <v>37</v>
      </c>
      <c r="E67" s="8" t="s">
        <v>37</v>
      </c>
      <c r="G67" s="8" t="s">
        <v>37</v>
      </c>
      <c r="I67" s="8" t="s">
        <v>37</v>
      </c>
    </row>
    <row r="68" spans="1:9" x14ac:dyDescent="0.3">
      <c r="A68" s="8" t="s">
        <v>2891</v>
      </c>
      <c r="C68" s="8" t="s">
        <v>2891</v>
      </c>
      <c r="E68" s="8" t="s">
        <v>2891</v>
      </c>
      <c r="G68" s="8" t="s">
        <v>2891</v>
      </c>
      <c r="I68" s="8" t="s">
        <v>2891</v>
      </c>
    </row>
    <row r="69" spans="1:9" x14ac:dyDescent="0.3">
      <c r="A69" s="8" t="s">
        <v>2892</v>
      </c>
      <c r="C69" s="8" t="s">
        <v>3375</v>
      </c>
      <c r="E69" s="8" t="s">
        <v>3887</v>
      </c>
      <c r="G69" s="8" t="s">
        <v>4078</v>
      </c>
      <c r="I69" s="8" t="s">
        <v>2892</v>
      </c>
    </row>
    <row r="70" spans="1:9" x14ac:dyDescent="0.3">
      <c r="A70" s="8" t="s">
        <v>19</v>
      </c>
      <c r="C70" s="8" t="s">
        <v>19</v>
      </c>
      <c r="E70" s="8" t="s">
        <v>19</v>
      </c>
      <c r="G70" s="8" t="s">
        <v>19</v>
      </c>
      <c r="I70" s="8" t="s">
        <v>19</v>
      </c>
    </row>
    <row r="71" spans="1:9" x14ac:dyDescent="0.3">
      <c r="A71" s="8" t="s">
        <v>39</v>
      </c>
      <c r="C71" s="8" t="s">
        <v>39</v>
      </c>
      <c r="E71" s="8" t="s">
        <v>39</v>
      </c>
      <c r="G71" s="8" t="s">
        <v>39</v>
      </c>
      <c r="I71" s="8" t="s">
        <v>39</v>
      </c>
    </row>
    <row r="72" spans="1:9" x14ac:dyDescent="0.3">
      <c r="A72" s="8" t="s">
        <v>2893</v>
      </c>
      <c r="C72" s="8" t="s">
        <v>2893</v>
      </c>
      <c r="E72" s="8" t="s">
        <v>2893</v>
      </c>
      <c r="G72" s="8" t="s">
        <v>2893</v>
      </c>
      <c r="I72" s="8" t="s">
        <v>2893</v>
      </c>
    </row>
    <row r="73" spans="1:9" x14ac:dyDescent="0.3">
      <c r="A73" s="8" t="s">
        <v>2876</v>
      </c>
      <c r="C73" s="8" t="s">
        <v>3376</v>
      </c>
      <c r="E73" s="8" t="s">
        <v>3888</v>
      </c>
      <c r="G73" s="8" t="s">
        <v>4079</v>
      </c>
      <c r="I73" s="8" t="s">
        <v>2876</v>
      </c>
    </row>
    <row r="74" spans="1:9" x14ac:dyDescent="0.3">
      <c r="A74" s="8" t="s">
        <v>19</v>
      </c>
      <c r="C74" s="8" t="s">
        <v>19</v>
      </c>
      <c r="E74" s="8" t="s">
        <v>19</v>
      </c>
      <c r="G74" s="8" t="s">
        <v>19</v>
      </c>
      <c r="I74" s="8" t="s">
        <v>19</v>
      </c>
    </row>
    <row r="75" spans="1:9" x14ac:dyDescent="0.3">
      <c r="A75" s="8" t="s">
        <v>40</v>
      </c>
      <c r="C75" s="8" t="s">
        <v>40</v>
      </c>
      <c r="E75" s="8" t="s">
        <v>40</v>
      </c>
      <c r="G75" s="8" t="s">
        <v>40</v>
      </c>
      <c r="I75" s="8" t="s">
        <v>40</v>
      </c>
    </row>
    <row r="76" spans="1:9" x14ac:dyDescent="0.3">
      <c r="A76" s="8" t="s">
        <v>2894</v>
      </c>
      <c r="C76" s="8" t="s">
        <v>2894</v>
      </c>
      <c r="E76" s="8" t="s">
        <v>2894</v>
      </c>
      <c r="G76" s="8" t="s">
        <v>2894</v>
      </c>
      <c r="I76" s="8" t="s">
        <v>2894</v>
      </c>
    </row>
    <row r="77" spans="1:9" x14ac:dyDescent="0.3">
      <c r="A77" s="8" t="s">
        <v>2895</v>
      </c>
      <c r="C77" s="8" t="s">
        <v>3377</v>
      </c>
      <c r="E77" s="8" t="s">
        <v>3889</v>
      </c>
      <c r="G77" s="8" t="s">
        <v>3314</v>
      </c>
      <c r="I77" s="8" t="s">
        <v>3314</v>
      </c>
    </row>
    <row r="78" spans="1:9" x14ac:dyDescent="0.3">
      <c r="A78" s="8" t="s">
        <v>19</v>
      </c>
      <c r="C78" s="8" t="s">
        <v>19</v>
      </c>
      <c r="E78" s="8" t="s">
        <v>19</v>
      </c>
      <c r="G78" s="8" t="s">
        <v>19</v>
      </c>
      <c r="I78" s="8" t="s">
        <v>19</v>
      </c>
    </row>
    <row r="79" spans="1:9" x14ac:dyDescent="0.3">
      <c r="A79" s="8" t="s">
        <v>42</v>
      </c>
      <c r="C79" s="8" t="s">
        <v>42</v>
      </c>
      <c r="E79" s="8" t="s">
        <v>42</v>
      </c>
      <c r="G79" s="8" t="s">
        <v>42</v>
      </c>
      <c r="I79" s="8" t="s">
        <v>42</v>
      </c>
    </row>
    <row r="80" spans="1:9" x14ac:dyDescent="0.3">
      <c r="A80" s="8" t="s">
        <v>2896</v>
      </c>
      <c r="C80" s="8" t="s">
        <v>2896</v>
      </c>
      <c r="E80" s="8" t="s">
        <v>2896</v>
      </c>
      <c r="G80" s="8" t="s">
        <v>2896</v>
      </c>
      <c r="I80" s="8" t="s">
        <v>2896</v>
      </c>
    </row>
    <row r="81" spans="1:9" x14ac:dyDescent="0.3">
      <c r="A81" s="8" t="s">
        <v>2897</v>
      </c>
      <c r="C81" s="8" t="s">
        <v>3378</v>
      </c>
      <c r="E81" s="8" t="s">
        <v>3315</v>
      </c>
      <c r="G81" s="8" t="s">
        <v>4080</v>
      </c>
      <c r="I81" s="8" t="s">
        <v>3315</v>
      </c>
    </row>
    <row r="82" spans="1:9" x14ac:dyDescent="0.3">
      <c r="A82" s="8" t="s">
        <v>20</v>
      </c>
      <c r="C82" s="8" t="s">
        <v>20</v>
      </c>
      <c r="E82" s="8" t="s">
        <v>20</v>
      </c>
      <c r="G82" s="8" t="s">
        <v>20</v>
      </c>
      <c r="I82" s="8" t="s">
        <v>20</v>
      </c>
    </row>
    <row r="83" spans="1:9" x14ac:dyDescent="0.3">
      <c r="A83" s="8" t="s">
        <v>21</v>
      </c>
      <c r="C83" s="8" t="s">
        <v>21</v>
      </c>
      <c r="E83" s="8" t="s">
        <v>21</v>
      </c>
      <c r="G83" s="8" t="s">
        <v>21</v>
      </c>
      <c r="I83" s="8" t="s">
        <v>21</v>
      </c>
    </row>
    <row r="84" spans="1:9" x14ac:dyDescent="0.3">
      <c r="A84" s="8" t="s">
        <v>43</v>
      </c>
      <c r="C84" s="8" t="s">
        <v>43</v>
      </c>
      <c r="E84" s="8" t="s">
        <v>43</v>
      </c>
      <c r="G84" s="8" t="s">
        <v>43</v>
      </c>
      <c r="I84" s="8" t="s">
        <v>43</v>
      </c>
    </row>
    <row r="85" spans="1:9" x14ac:dyDescent="0.3">
      <c r="A85" s="8" t="s">
        <v>44</v>
      </c>
      <c r="C85" s="8" t="s">
        <v>44</v>
      </c>
      <c r="E85" s="8" t="s">
        <v>44</v>
      </c>
      <c r="G85" s="8" t="s">
        <v>44</v>
      </c>
      <c r="I85" s="8" t="s">
        <v>44</v>
      </c>
    </row>
    <row r="86" spans="1:9" x14ac:dyDescent="0.3">
      <c r="A86" s="8" t="s">
        <v>2898</v>
      </c>
      <c r="C86" s="8" t="s">
        <v>2898</v>
      </c>
      <c r="E86" s="8" t="s">
        <v>2898</v>
      </c>
      <c r="G86" s="8" t="s">
        <v>2898</v>
      </c>
      <c r="I86" s="8" t="s">
        <v>2898</v>
      </c>
    </row>
    <row r="87" spans="1:9" x14ac:dyDescent="0.3">
      <c r="A87" s="8" t="s">
        <v>2899</v>
      </c>
      <c r="C87" s="8" t="s">
        <v>3379</v>
      </c>
      <c r="E87" s="8" t="s">
        <v>3316</v>
      </c>
      <c r="G87" s="8" t="s">
        <v>3316</v>
      </c>
      <c r="I87" s="8" t="s">
        <v>3316</v>
      </c>
    </row>
    <row r="88" spans="1:9" x14ac:dyDescent="0.3">
      <c r="A88" s="8" t="s">
        <v>20</v>
      </c>
      <c r="C88" s="8" t="s">
        <v>20</v>
      </c>
      <c r="E88" s="8" t="s">
        <v>20</v>
      </c>
      <c r="G88" s="8" t="s">
        <v>20</v>
      </c>
      <c r="I88" s="8" t="s">
        <v>20</v>
      </c>
    </row>
    <row r="89" spans="1:9" x14ac:dyDescent="0.3">
      <c r="A89" s="8" t="s">
        <v>22</v>
      </c>
      <c r="C89" s="8" t="s">
        <v>22</v>
      </c>
      <c r="E89" s="8" t="s">
        <v>22</v>
      </c>
      <c r="G89" s="8" t="s">
        <v>22</v>
      </c>
      <c r="I89" s="8" t="s">
        <v>22</v>
      </c>
    </row>
    <row r="90" spans="1:9" x14ac:dyDescent="0.3">
      <c r="A90" s="8" t="s">
        <v>23</v>
      </c>
      <c r="C90" s="8" t="s">
        <v>23</v>
      </c>
      <c r="E90" s="8" t="s">
        <v>23</v>
      </c>
      <c r="G90" s="8" t="s">
        <v>23</v>
      </c>
      <c r="I90" s="8" t="s">
        <v>23</v>
      </c>
    </row>
    <row r="91" spans="1:9" x14ac:dyDescent="0.3">
      <c r="A91" s="8" t="s">
        <v>56</v>
      </c>
      <c r="C91" s="8" t="s">
        <v>56</v>
      </c>
      <c r="E91" s="8" t="s">
        <v>56</v>
      </c>
      <c r="G91" s="8" t="s">
        <v>56</v>
      </c>
      <c r="I91" s="8" t="s">
        <v>56</v>
      </c>
    </row>
    <row r="92" spans="1:9" x14ac:dyDescent="0.3">
      <c r="A92" s="8" t="s">
        <v>27</v>
      </c>
      <c r="C92" s="8" t="s">
        <v>27</v>
      </c>
      <c r="E92" s="8" t="s">
        <v>27</v>
      </c>
      <c r="G92" s="8" t="s">
        <v>27</v>
      </c>
      <c r="I92" s="8" t="s">
        <v>27</v>
      </c>
    </row>
    <row r="93" spans="1:9" x14ac:dyDescent="0.3">
      <c r="A93" s="8" t="s">
        <v>28</v>
      </c>
      <c r="C93" s="8" t="s">
        <v>28</v>
      </c>
      <c r="E93" s="8" t="s">
        <v>28</v>
      </c>
      <c r="G93" s="8" t="s">
        <v>28</v>
      </c>
      <c r="I93" s="8" t="s">
        <v>28</v>
      </c>
    </row>
    <row r="94" spans="1:9" x14ac:dyDescent="0.3">
      <c r="A94" s="8" t="s">
        <v>2900</v>
      </c>
      <c r="C94" s="8" t="s">
        <v>2900</v>
      </c>
      <c r="E94" s="8" t="s">
        <v>2900</v>
      </c>
      <c r="G94" s="8" t="s">
        <v>2900</v>
      </c>
      <c r="I94" s="8" t="s">
        <v>2900</v>
      </c>
    </row>
    <row r="95" spans="1:9" x14ac:dyDescent="0.3">
      <c r="A95" s="8" t="s">
        <v>2901</v>
      </c>
      <c r="C95" s="8" t="s">
        <v>3380</v>
      </c>
      <c r="E95" s="8" t="s">
        <v>3890</v>
      </c>
      <c r="F95" s="5" t="s">
        <v>3808</v>
      </c>
      <c r="G95" s="8" t="s">
        <v>4081</v>
      </c>
      <c r="I95" s="8" t="s">
        <v>3317</v>
      </c>
    </row>
    <row r="96" spans="1:9" x14ac:dyDescent="0.3">
      <c r="A96" s="8" t="s">
        <v>19</v>
      </c>
      <c r="C96" s="8" t="s">
        <v>19</v>
      </c>
      <c r="E96" s="8" t="s">
        <v>19</v>
      </c>
      <c r="G96" s="8" t="s">
        <v>19</v>
      </c>
      <c r="I96" s="8" t="s">
        <v>19</v>
      </c>
    </row>
    <row r="97" spans="1:9" x14ac:dyDescent="0.3">
      <c r="A97" s="8" t="s">
        <v>30</v>
      </c>
      <c r="C97" s="8" t="s">
        <v>30</v>
      </c>
      <c r="E97" s="8" t="s">
        <v>30</v>
      </c>
      <c r="G97" s="8" t="s">
        <v>30</v>
      </c>
      <c r="I97" s="8" t="s">
        <v>30</v>
      </c>
    </row>
    <row r="98" spans="1:9" x14ac:dyDescent="0.3">
      <c r="A98" s="8" t="s">
        <v>2902</v>
      </c>
      <c r="C98" s="8" t="s">
        <v>2902</v>
      </c>
      <c r="E98" s="8" t="s">
        <v>2902</v>
      </c>
      <c r="G98" s="8" t="s">
        <v>2902</v>
      </c>
      <c r="I98" s="8" t="s">
        <v>2902</v>
      </c>
    </row>
    <row r="99" spans="1:9" x14ac:dyDescent="0.3">
      <c r="A99" s="8" t="s">
        <v>2903</v>
      </c>
      <c r="C99" s="8" t="s">
        <v>3381</v>
      </c>
      <c r="E99" s="8" t="s">
        <v>3891</v>
      </c>
      <c r="G99" s="8" t="s">
        <v>4082</v>
      </c>
      <c r="I99" s="8" t="s">
        <v>2903</v>
      </c>
    </row>
    <row r="100" spans="1:9" x14ac:dyDescent="0.3">
      <c r="A100" s="8" t="s">
        <v>19</v>
      </c>
      <c r="C100" s="8" t="s">
        <v>19</v>
      </c>
      <c r="E100" s="8" t="s">
        <v>19</v>
      </c>
      <c r="G100" s="8" t="s">
        <v>19</v>
      </c>
      <c r="I100" s="8" t="s">
        <v>19</v>
      </c>
    </row>
    <row r="101" spans="1:9" x14ac:dyDescent="0.3">
      <c r="A101" s="8" t="s">
        <v>32</v>
      </c>
      <c r="C101" s="8" t="s">
        <v>32</v>
      </c>
      <c r="E101" s="8" t="s">
        <v>32</v>
      </c>
      <c r="G101" s="8" t="s">
        <v>32</v>
      </c>
      <c r="I101" s="8" t="s">
        <v>32</v>
      </c>
    </row>
    <row r="102" spans="1:9" x14ac:dyDescent="0.3">
      <c r="A102" s="8" t="s">
        <v>2904</v>
      </c>
      <c r="C102" s="8" t="s">
        <v>2904</v>
      </c>
      <c r="E102" s="8" t="s">
        <v>2904</v>
      </c>
      <c r="G102" s="8" t="s">
        <v>2904</v>
      </c>
      <c r="I102" s="8" t="s">
        <v>2904</v>
      </c>
    </row>
    <row r="103" spans="1:9" x14ac:dyDescent="0.3">
      <c r="A103" s="8" t="s">
        <v>2905</v>
      </c>
      <c r="C103" s="8" t="s">
        <v>3382</v>
      </c>
      <c r="E103" s="8" t="s">
        <v>3307</v>
      </c>
      <c r="G103" s="8" t="s">
        <v>4083</v>
      </c>
      <c r="I103" s="8" t="s">
        <v>2905</v>
      </c>
    </row>
    <row r="104" spans="1:9" x14ac:dyDescent="0.3">
      <c r="A104" s="8" t="s">
        <v>20</v>
      </c>
      <c r="C104" s="8" t="s">
        <v>20</v>
      </c>
      <c r="E104" s="8" t="s">
        <v>20</v>
      </c>
      <c r="G104" s="8" t="s">
        <v>20</v>
      </c>
      <c r="I104" s="8" t="s">
        <v>20</v>
      </c>
    </row>
    <row r="105" spans="1:9" x14ac:dyDescent="0.3">
      <c r="A105" s="8" t="s">
        <v>21</v>
      </c>
      <c r="C105" s="8" t="s">
        <v>21</v>
      </c>
      <c r="E105" s="8" t="s">
        <v>21</v>
      </c>
      <c r="G105" s="8" t="s">
        <v>21</v>
      </c>
      <c r="I105" s="8" t="s">
        <v>21</v>
      </c>
    </row>
    <row r="106" spans="1:9" x14ac:dyDescent="0.3">
      <c r="A106" s="8" t="s">
        <v>34</v>
      </c>
      <c r="C106" s="8" t="s">
        <v>34</v>
      </c>
      <c r="E106" s="8" t="s">
        <v>34</v>
      </c>
      <c r="G106" s="8" t="s">
        <v>34</v>
      </c>
      <c r="I106" s="8" t="s">
        <v>34</v>
      </c>
    </row>
    <row r="107" spans="1:9" x14ac:dyDescent="0.3">
      <c r="A107" s="8" t="s">
        <v>35</v>
      </c>
      <c r="C107" s="8" t="s">
        <v>35</v>
      </c>
      <c r="E107" s="8" t="s">
        <v>35</v>
      </c>
      <c r="G107" s="8" t="s">
        <v>35</v>
      </c>
      <c r="I107" s="8" t="s">
        <v>35</v>
      </c>
    </row>
    <row r="108" spans="1:9" x14ac:dyDescent="0.3">
      <c r="A108" s="8" t="s">
        <v>2906</v>
      </c>
      <c r="C108" s="8" t="s">
        <v>2906</v>
      </c>
      <c r="E108" s="8" t="s">
        <v>2906</v>
      </c>
      <c r="G108" s="8" t="s">
        <v>2906</v>
      </c>
      <c r="I108" s="8" t="s">
        <v>2906</v>
      </c>
    </row>
    <row r="109" spans="1:9" x14ac:dyDescent="0.3">
      <c r="A109" s="8" t="s">
        <v>2876</v>
      </c>
      <c r="C109" s="8" t="s">
        <v>3365</v>
      </c>
      <c r="E109" s="8" t="s">
        <v>2876</v>
      </c>
      <c r="G109" s="8" t="s">
        <v>2876</v>
      </c>
      <c r="I109" s="8" t="s">
        <v>2876</v>
      </c>
    </row>
    <row r="110" spans="1:9" x14ac:dyDescent="0.3">
      <c r="A110" s="8" t="s">
        <v>19</v>
      </c>
      <c r="C110" s="8" t="s">
        <v>19</v>
      </c>
      <c r="E110" s="8" t="s">
        <v>19</v>
      </c>
      <c r="G110" s="8" t="s">
        <v>19</v>
      </c>
      <c r="I110" s="8" t="s">
        <v>19</v>
      </c>
    </row>
    <row r="111" spans="1:9" x14ac:dyDescent="0.3">
      <c r="A111" s="8" t="s">
        <v>37</v>
      </c>
      <c r="C111" s="8" t="s">
        <v>37</v>
      </c>
      <c r="E111" s="8" t="s">
        <v>37</v>
      </c>
      <c r="G111" s="8" t="s">
        <v>37</v>
      </c>
      <c r="I111" s="8" t="s">
        <v>37</v>
      </c>
    </row>
    <row r="112" spans="1:9" x14ac:dyDescent="0.3">
      <c r="A112" s="8" t="s">
        <v>2907</v>
      </c>
      <c r="C112" s="8" t="s">
        <v>2907</v>
      </c>
      <c r="E112" s="8" t="s">
        <v>2907</v>
      </c>
      <c r="G112" s="8" t="s">
        <v>2907</v>
      </c>
      <c r="I112" s="8" t="s">
        <v>2907</v>
      </c>
    </row>
    <row r="113" spans="1:9" x14ac:dyDescent="0.3">
      <c r="A113" s="8" t="s">
        <v>2908</v>
      </c>
      <c r="C113" s="8" t="s">
        <v>3383</v>
      </c>
      <c r="E113" s="8" t="s">
        <v>3892</v>
      </c>
      <c r="G113" s="8" t="s">
        <v>3318</v>
      </c>
      <c r="I113" s="8" t="s">
        <v>3318</v>
      </c>
    </row>
    <row r="114" spans="1:9" x14ac:dyDescent="0.3">
      <c r="A114" s="8" t="s">
        <v>19</v>
      </c>
      <c r="C114" s="8" t="s">
        <v>19</v>
      </c>
      <c r="E114" s="8" t="s">
        <v>19</v>
      </c>
      <c r="G114" s="8" t="s">
        <v>19</v>
      </c>
      <c r="I114" s="8" t="s">
        <v>19</v>
      </c>
    </row>
    <row r="115" spans="1:9" x14ac:dyDescent="0.3">
      <c r="A115" s="8" t="s">
        <v>39</v>
      </c>
      <c r="C115" s="8" t="s">
        <v>39</v>
      </c>
      <c r="E115" s="8" t="s">
        <v>39</v>
      </c>
      <c r="G115" s="8" t="s">
        <v>39</v>
      </c>
      <c r="I115" s="8" t="s">
        <v>39</v>
      </c>
    </row>
    <row r="116" spans="1:9" x14ac:dyDescent="0.3">
      <c r="A116" s="8" t="s">
        <v>2909</v>
      </c>
      <c r="C116" s="8" t="s">
        <v>2909</v>
      </c>
      <c r="E116" s="8" t="s">
        <v>2909</v>
      </c>
      <c r="G116" s="8" t="s">
        <v>2909</v>
      </c>
      <c r="I116" s="8" t="s">
        <v>2909</v>
      </c>
    </row>
    <row r="117" spans="1:9" x14ac:dyDescent="0.3">
      <c r="A117" s="8" t="s">
        <v>2876</v>
      </c>
      <c r="C117" s="8" t="s">
        <v>3365</v>
      </c>
      <c r="E117" s="8" t="s">
        <v>2876</v>
      </c>
      <c r="G117" s="8" t="s">
        <v>4084</v>
      </c>
      <c r="I117" s="8" t="s">
        <v>2876</v>
      </c>
    </row>
    <row r="118" spans="1:9" x14ac:dyDescent="0.3">
      <c r="A118" s="8" t="s">
        <v>19</v>
      </c>
      <c r="C118" s="8" t="s">
        <v>19</v>
      </c>
      <c r="E118" s="8" t="s">
        <v>19</v>
      </c>
      <c r="G118" s="8" t="s">
        <v>19</v>
      </c>
      <c r="I118" s="8" t="s">
        <v>19</v>
      </c>
    </row>
    <row r="119" spans="1:9" x14ac:dyDescent="0.3">
      <c r="A119" s="8" t="s">
        <v>40</v>
      </c>
      <c r="C119" s="8" t="s">
        <v>40</v>
      </c>
      <c r="E119" s="8" t="s">
        <v>40</v>
      </c>
      <c r="G119" s="8" t="s">
        <v>40</v>
      </c>
      <c r="I119" s="8" t="s">
        <v>40</v>
      </c>
    </row>
    <row r="120" spans="1:9" x14ac:dyDescent="0.3">
      <c r="A120" s="8" t="s">
        <v>2910</v>
      </c>
      <c r="C120" s="8" t="s">
        <v>2910</v>
      </c>
      <c r="E120" s="8" t="s">
        <v>2910</v>
      </c>
      <c r="G120" s="8" t="s">
        <v>2910</v>
      </c>
      <c r="I120" s="8" t="s">
        <v>2910</v>
      </c>
    </row>
    <row r="121" spans="1:9" x14ac:dyDescent="0.3">
      <c r="A121" s="8" t="s">
        <v>2911</v>
      </c>
      <c r="C121" s="8" t="s">
        <v>3384</v>
      </c>
      <c r="E121" s="8" t="s">
        <v>3893</v>
      </c>
      <c r="G121" s="8" t="s">
        <v>3052</v>
      </c>
      <c r="I121" s="8" t="s">
        <v>3052</v>
      </c>
    </row>
    <row r="122" spans="1:9" x14ac:dyDescent="0.3">
      <c r="A122" s="8" t="s">
        <v>19</v>
      </c>
      <c r="C122" s="8" t="s">
        <v>19</v>
      </c>
      <c r="E122" s="8" t="s">
        <v>19</v>
      </c>
      <c r="G122" s="8" t="s">
        <v>19</v>
      </c>
      <c r="I122" s="8" t="s">
        <v>19</v>
      </c>
    </row>
    <row r="123" spans="1:9" x14ac:dyDescent="0.3">
      <c r="A123" s="8" t="s">
        <v>42</v>
      </c>
      <c r="C123" s="8" t="s">
        <v>42</v>
      </c>
      <c r="E123" s="8" t="s">
        <v>42</v>
      </c>
      <c r="G123" s="8" t="s">
        <v>42</v>
      </c>
      <c r="I123" s="8" t="s">
        <v>42</v>
      </c>
    </row>
    <row r="124" spans="1:9" x14ac:dyDescent="0.3">
      <c r="A124" s="8" t="s">
        <v>2912</v>
      </c>
      <c r="C124" s="8" t="s">
        <v>2912</v>
      </c>
      <c r="E124" s="8" t="s">
        <v>2912</v>
      </c>
      <c r="G124" s="8" t="s">
        <v>2912</v>
      </c>
      <c r="I124" s="8" t="s">
        <v>2912</v>
      </c>
    </row>
    <row r="125" spans="1:9" x14ac:dyDescent="0.3">
      <c r="A125" s="8" t="s">
        <v>2876</v>
      </c>
      <c r="C125" s="8" t="s">
        <v>3385</v>
      </c>
      <c r="E125" s="8" t="s">
        <v>3054</v>
      </c>
      <c r="G125" s="8" t="s">
        <v>2876</v>
      </c>
      <c r="I125" s="8" t="s">
        <v>2876</v>
      </c>
    </row>
    <row r="126" spans="1:9" x14ac:dyDescent="0.3">
      <c r="A126" s="8" t="s">
        <v>20</v>
      </c>
      <c r="C126" s="8" t="s">
        <v>20</v>
      </c>
      <c r="E126" s="8" t="s">
        <v>20</v>
      </c>
      <c r="G126" s="8" t="s">
        <v>20</v>
      </c>
      <c r="I126" s="8" t="s">
        <v>20</v>
      </c>
    </row>
    <row r="127" spans="1:9" x14ac:dyDescent="0.3">
      <c r="A127" s="8" t="s">
        <v>21</v>
      </c>
      <c r="C127" s="8" t="s">
        <v>21</v>
      </c>
      <c r="E127" s="8" t="s">
        <v>21</v>
      </c>
      <c r="G127" s="8" t="s">
        <v>21</v>
      </c>
      <c r="I127" s="8" t="s">
        <v>21</v>
      </c>
    </row>
    <row r="128" spans="1:9" x14ac:dyDescent="0.3">
      <c r="A128" s="8" t="s">
        <v>43</v>
      </c>
      <c r="C128" s="8" t="s">
        <v>43</v>
      </c>
      <c r="E128" s="8" t="s">
        <v>43</v>
      </c>
      <c r="G128" s="8" t="s">
        <v>43</v>
      </c>
      <c r="I128" s="8" t="s">
        <v>43</v>
      </c>
    </row>
    <row r="129" spans="1:9" x14ac:dyDescent="0.3">
      <c r="A129" s="8" t="s">
        <v>44</v>
      </c>
      <c r="C129" s="8" t="s">
        <v>44</v>
      </c>
      <c r="E129" s="8" t="s">
        <v>44</v>
      </c>
      <c r="G129" s="8" t="s">
        <v>44</v>
      </c>
      <c r="I129" s="8" t="s">
        <v>44</v>
      </c>
    </row>
    <row r="130" spans="1:9" x14ac:dyDescent="0.3">
      <c r="A130" s="8" t="s">
        <v>2913</v>
      </c>
      <c r="C130" s="8" t="s">
        <v>2913</v>
      </c>
      <c r="E130" s="8" t="s">
        <v>2913</v>
      </c>
      <c r="G130" s="8" t="s">
        <v>2913</v>
      </c>
      <c r="I130" s="8" t="s">
        <v>2913</v>
      </c>
    </row>
    <row r="131" spans="1:9" x14ac:dyDescent="0.3">
      <c r="A131" s="8" t="s">
        <v>2914</v>
      </c>
      <c r="C131" s="8" t="s">
        <v>3386</v>
      </c>
      <c r="E131" s="8" t="s">
        <v>2914</v>
      </c>
      <c r="G131" s="8" t="s">
        <v>2914</v>
      </c>
      <c r="I131" s="8" t="s">
        <v>2914</v>
      </c>
    </row>
    <row r="132" spans="1:9" x14ac:dyDescent="0.3">
      <c r="A132" s="8" t="s">
        <v>20</v>
      </c>
      <c r="C132" s="8" t="s">
        <v>20</v>
      </c>
      <c r="E132" s="8" t="s">
        <v>20</v>
      </c>
      <c r="G132" s="8" t="s">
        <v>20</v>
      </c>
      <c r="I132" s="8" t="s">
        <v>20</v>
      </c>
    </row>
    <row r="133" spans="1:9" x14ac:dyDescent="0.3">
      <c r="A133" s="8" t="s">
        <v>22</v>
      </c>
      <c r="C133" s="8" t="s">
        <v>22</v>
      </c>
      <c r="E133" s="8" t="s">
        <v>22</v>
      </c>
      <c r="G133" s="8" t="s">
        <v>22</v>
      </c>
      <c r="I133" s="8" t="s">
        <v>22</v>
      </c>
    </row>
    <row r="134" spans="1:9" x14ac:dyDescent="0.3">
      <c r="A134" s="8" t="s">
        <v>23</v>
      </c>
      <c r="C134" s="8" t="s">
        <v>23</v>
      </c>
      <c r="E134" s="8" t="s">
        <v>23</v>
      </c>
      <c r="G134" s="8" t="s">
        <v>23</v>
      </c>
      <c r="I134" s="8" t="s">
        <v>23</v>
      </c>
    </row>
    <row r="135" spans="1:9" x14ac:dyDescent="0.3">
      <c r="A135" s="8" t="s">
        <v>60</v>
      </c>
      <c r="C135" s="8" t="s">
        <v>60</v>
      </c>
      <c r="E135" s="8" t="s">
        <v>60</v>
      </c>
      <c r="G135" s="8" t="s">
        <v>60</v>
      </c>
      <c r="I135" s="8" t="s">
        <v>60</v>
      </c>
    </row>
    <row r="136" spans="1:9" x14ac:dyDescent="0.3">
      <c r="A136" s="8" t="s">
        <v>27</v>
      </c>
      <c r="C136" s="8" t="s">
        <v>27</v>
      </c>
      <c r="E136" s="8" t="s">
        <v>27</v>
      </c>
      <c r="G136" s="8" t="s">
        <v>27</v>
      </c>
      <c r="I136" s="8" t="s">
        <v>27</v>
      </c>
    </row>
    <row r="137" spans="1:9" x14ac:dyDescent="0.3">
      <c r="A137" s="8" t="s">
        <v>28</v>
      </c>
      <c r="C137" s="8" t="s">
        <v>28</v>
      </c>
      <c r="E137" s="8" t="s">
        <v>28</v>
      </c>
      <c r="G137" s="8" t="s">
        <v>28</v>
      </c>
      <c r="I137" s="8" t="s">
        <v>28</v>
      </c>
    </row>
    <row r="138" spans="1:9" x14ac:dyDescent="0.3">
      <c r="A138" s="8" t="s">
        <v>2915</v>
      </c>
      <c r="C138" s="8" t="s">
        <v>2915</v>
      </c>
      <c r="E138" s="8" t="s">
        <v>2915</v>
      </c>
      <c r="G138" s="8" t="s">
        <v>2915</v>
      </c>
      <c r="I138" s="8" t="s">
        <v>2915</v>
      </c>
    </row>
    <row r="139" spans="1:9" x14ac:dyDescent="0.3">
      <c r="A139" s="8" t="s">
        <v>2916</v>
      </c>
      <c r="C139" s="8" t="s">
        <v>3387</v>
      </c>
      <c r="E139" s="8" t="s">
        <v>2876</v>
      </c>
      <c r="G139" s="8" t="s">
        <v>4085</v>
      </c>
      <c r="I139" s="8" t="s">
        <v>3319</v>
      </c>
    </row>
    <row r="140" spans="1:9" x14ac:dyDescent="0.3">
      <c r="A140" s="8" t="s">
        <v>19</v>
      </c>
      <c r="C140" s="8" t="s">
        <v>19</v>
      </c>
      <c r="E140" s="8" t="s">
        <v>19</v>
      </c>
      <c r="G140" s="8" t="s">
        <v>19</v>
      </c>
      <c r="I140" s="8" t="s">
        <v>19</v>
      </c>
    </row>
    <row r="141" spans="1:9" x14ac:dyDescent="0.3">
      <c r="A141" s="8" t="s">
        <v>30</v>
      </c>
      <c r="C141" s="8" t="s">
        <v>30</v>
      </c>
      <c r="E141" s="8" t="s">
        <v>30</v>
      </c>
      <c r="G141" s="8" t="s">
        <v>30</v>
      </c>
      <c r="I141" s="8" t="s">
        <v>30</v>
      </c>
    </row>
    <row r="142" spans="1:9" x14ac:dyDescent="0.3">
      <c r="A142" s="8" t="s">
        <v>2917</v>
      </c>
      <c r="C142" s="8" t="s">
        <v>2917</v>
      </c>
      <c r="E142" s="8" t="s">
        <v>2917</v>
      </c>
      <c r="G142" s="8" t="s">
        <v>2917</v>
      </c>
      <c r="I142" s="8" t="s">
        <v>2917</v>
      </c>
    </row>
    <row r="143" spans="1:9" x14ac:dyDescent="0.3">
      <c r="A143" s="8" t="s">
        <v>2918</v>
      </c>
      <c r="C143" s="8" t="s">
        <v>3388</v>
      </c>
      <c r="E143" s="8" t="s">
        <v>3055</v>
      </c>
      <c r="G143" s="8" t="s">
        <v>4086</v>
      </c>
      <c r="I143" s="8" t="s">
        <v>3320</v>
      </c>
    </row>
    <row r="144" spans="1:9" x14ac:dyDescent="0.3">
      <c r="A144" s="8" t="s">
        <v>19</v>
      </c>
      <c r="C144" s="8" t="s">
        <v>19</v>
      </c>
      <c r="E144" s="8" t="s">
        <v>19</v>
      </c>
      <c r="G144" s="8" t="s">
        <v>19</v>
      </c>
      <c r="I144" s="8" t="s">
        <v>19</v>
      </c>
    </row>
    <row r="145" spans="1:9" x14ac:dyDescent="0.3">
      <c r="A145" s="8" t="s">
        <v>32</v>
      </c>
      <c r="C145" s="8" t="s">
        <v>32</v>
      </c>
      <c r="E145" s="8" t="s">
        <v>32</v>
      </c>
      <c r="G145" s="8" t="s">
        <v>32</v>
      </c>
      <c r="I145" s="8" t="s">
        <v>32</v>
      </c>
    </row>
    <row r="146" spans="1:9" x14ac:dyDescent="0.3">
      <c r="A146" s="8" t="s">
        <v>2919</v>
      </c>
      <c r="C146" s="8" t="s">
        <v>2919</v>
      </c>
      <c r="E146" s="8" t="s">
        <v>2919</v>
      </c>
      <c r="G146" s="8" t="s">
        <v>2919</v>
      </c>
      <c r="I146" s="8" t="s">
        <v>2919</v>
      </c>
    </row>
    <row r="147" spans="1:9" x14ac:dyDescent="0.3">
      <c r="A147" s="8" t="s">
        <v>2920</v>
      </c>
      <c r="C147" s="8" t="s">
        <v>3389</v>
      </c>
      <c r="E147" s="8" t="s">
        <v>3894</v>
      </c>
      <c r="G147" s="8" t="s">
        <v>3894</v>
      </c>
      <c r="I147" s="8" t="s">
        <v>3307</v>
      </c>
    </row>
    <row r="148" spans="1:9" x14ac:dyDescent="0.3">
      <c r="A148" s="8" t="s">
        <v>20</v>
      </c>
      <c r="C148" s="8" t="s">
        <v>20</v>
      </c>
      <c r="E148" s="8" t="s">
        <v>20</v>
      </c>
      <c r="G148" s="8" t="s">
        <v>20</v>
      </c>
      <c r="I148" s="8" t="s">
        <v>20</v>
      </c>
    </row>
    <row r="149" spans="1:9" x14ac:dyDescent="0.3">
      <c r="A149" s="8" t="s">
        <v>21</v>
      </c>
      <c r="C149" s="8" t="s">
        <v>21</v>
      </c>
      <c r="E149" s="8" t="s">
        <v>21</v>
      </c>
      <c r="G149" s="8" t="s">
        <v>21</v>
      </c>
      <c r="I149" s="8" t="s">
        <v>21</v>
      </c>
    </row>
    <row r="150" spans="1:9" x14ac:dyDescent="0.3">
      <c r="A150" s="8" t="s">
        <v>34</v>
      </c>
      <c r="C150" s="8" t="s">
        <v>34</v>
      </c>
      <c r="E150" s="8" t="s">
        <v>34</v>
      </c>
      <c r="G150" s="8" t="s">
        <v>34</v>
      </c>
      <c r="I150" s="8" t="s">
        <v>34</v>
      </c>
    </row>
    <row r="151" spans="1:9" x14ac:dyDescent="0.3">
      <c r="A151" s="8" t="s">
        <v>35</v>
      </c>
      <c r="C151" s="8" t="s">
        <v>35</v>
      </c>
      <c r="E151" s="8" t="s">
        <v>35</v>
      </c>
      <c r="G151" s="8" t="s">
        <v>35</v>
      </c>
      <c r="I151" s="8" t="s">
        <v>35</v>
      </c>
    </row>
    <row r="152" spans="1:9" x14ac:dyDescent="0.3">
      <c r="A152" s="8" t="s">
        <v>2921</v>
      </c>
      <c r="C152" s="8" t="s">
        <v>2921</v>
      </c>
      <c r="E152" s="8" t="s">
        <v>2921</v>
      </c>
      <c r="G152" s="8" t="s">
        <v>2921</v>
      </c>
      <c r="I152" s="8" t="s">
        <v>2921</v>
      </c>
    </row>
    <row r="153" spans="1:9" x14ac:dyDescent="0.3">
      <c r="A153" s="8" t="s">
        <v>2922</v>
      </c>
      <c r="C153" s="8" t="s">
        <v>3365</v>
      </c>
      <c r="E153" s="8" t="s">
        <v>3895</v>
      </c>
      <c r="G153" s="8" t="s">
        <v>2876</v>
      </c>
      <c r="I153" s="8" t="s">
        <v>2922</v>
      </c>
    </row>
    <row r="154" spans="1:9" x14ac:dyDescent="0.3">
      <c r="A154" s="8" t="s">
        <v>19</v>
      </c>
      <c r="C154" s="8" t="s">
        <v>19</v>
      </c>
      <c r="E154" s="8" t="s">
        <v>19</v>
      </c>
      <c r="G154" s="8" t="s">
        <v>19</v>
      </c>
      <c r="I154" s="8" t="s">
        <v>19</v>
      </c>
    </row>
    <row r="155" spans="1:9" x14ac:dyDescent="0.3">
      <c r="A155" s="8" t="s">
        <v>37</v>
      </c>
      <c r="C155" s="8" t="s">
        <v>37</v>
      </c>
      <c r="E155" s="8" t="s">
        <v>37</v>
      </c>
      <c r="G155" s="8" t="s">
        <v>37</v>
      </c>
      <c r="I155" s="8" t="s">
        <v>37</v>
      </c>
    </row>
    <row r="156" spans="1:9" x14ac:dyDescent="0.3">
      <c r="A156" s="8" t="s">
        <v>2923</v>
      </c>
      <c r="C156" s="8" t="s">
        <v>2923</v>
      </c>
      <c r="E156" s="8" t="s">
        <v>2923</v>
      </c>
      <c r="G156" s="8" t="s">
        <v>2923</v>
      </c>
      <c r="I156" s="8" t="s">
        <v>2923</v>
      </c>
    </row>
    <row r="157" spans="1:9" x14ac:dyDescent="0.3">
      <c r="A157" s="8" t="s">
        <v>2876</v>
      </c>
      <c r="C157" s="8" t="s">
        <v>3390</v>
      </c>
      <c r="E157" s="8" t="s">
        <v>3896</v>
      </c>
      <c r="G157" s="8" t="s">
        <v>4087</v>
      </c>
      <c r="I157" s="8" t="s">
        <v>2876</v>
      </c>
    </row>
    <row r="158" spans="1:9" x14ac:dyDescent="0.3">
      <c r="A158" s="8" t="s">
        <v>19</v>
      </c>
      <c r="C158" s="8" t="s">
        <v>19</v>
      </c>
      <c r="E158" s="8" t="s">
        <v>19</v>
      </c>
      <c r="G158" s="8" t="s">
        <v>19</v>
      </c>
      <c r="I158" s="8" t="s">
        <v>19</v>
      </c>
    </row>
    <row r="159" spans="1:9" x14ac:dyDescent="0.3">
      <c r="A159" s="8" t="s">
        <v>39</v>
      </c>
      <c r="C159" s="8" t="s">
        <v>39</v>
      </c>
      <c r="E159" s="8" t="s">
        <v>39</v>
      </c>
      <c r="G159" s="8" t="s">
        <v>39</v>
      </c>
      <c r="I159" s="8" t="s">
        <v>39</v>
      </c>
    </row>
    <row r="160" spans="1:9" x14ac:dyDescent="0.3">
      <c r="A160" s="8" t="s">
        <v>2924</v>
      </c>
      <c r="C160" s="8" t="s">
        <v>2924</v>
      </c>
      <c r="E160" s="8" t="s">
        <v>2924</v>
      </c>
      <c r="G160" s="8" t="s">
        <v>2924</v>
      </c>
      <c r="I160" s="8" t="s">
        <v>2924</v>
      </c>
    </row>
    <row r="161" spans="1:9" x14ac:dyDescent="0.3">
      <c r="A161" s="8" t="s">
        <v>2925</v>
      </c>
      <c r="C161" s="8" t="s">
        <v>3391</v>
      </c>
      <c r="E161" s="8" t="s">
        <v>3897</v>
      </c>
      <c r="G161" s="8" t="s">
        <v>4088</v>
      </c>
      <c r="I161" s="8" t="s">
        <v>3321</v>
      </c>
    </row>
    <row r="162" spans="1:9" x14ac:dyDescent="0.3">
      <c r="A162" s="8" t="s">
        <v>19</v>
      </c>
      <c r="C162" s="8" t="s">
        <v>19</v>
      </c>
      <c r="E162" s="8" t="s">
        <v>19</v>
      </c>
      <c r="G162" s="8" t="s">
        <v>19</v>
      </c>
      <c r="I162" s="8" t="s">
        <v>19</v>
      </c>
    </row>
    <row r="163" spans="1:9" x14ac:dyDescent="0.3">
      <c r="A163" s="8" t="s">
        <v>40</v>
      </c>
      <c r="C163" s="8" t="s">
        <v>40</v>
      </c>
      <c r="E163" s="8" t="s">
        <v>40</v>
      </c>
      <c r="G163" s="8" t="s">
        <v>40</v>
      </c>
      <c r="I163" s="8" t="s">
        <v>40</v>
      </c>
    </row>
    <row r="164" spans="1:9" x14ac:dyDescent="0.3">
      <c r="A164" s="8" t="s">
        <v>2926</v>
      </c>
      <c r="C164" s="8" t="s">
        <v>2926</v>
      </c>
      <c r="E164" s="8" t="s">
        <v>2926</v>
      </c>
      <c r="G164" s="8" t="s">
        <v>2926</v>
      </c>
      <c r="I164" s="8" t="s">
        <v>2926</v>
      </c>
    </row>
    <row r="165" spans="1:9" x14ac:dyDescent="0.3">
      <c r="A165" s="8" t="s">
        <v>2927</v>
      </c>
      <c r="C165" s="8" t="s">
        <v>3392</v>
      </c>
      <c r="E165" s="8" t="s">
        <v>3056</v>
      </c>
      <c r="G165" s="8" t="s">
        <v>4061</v>
      </c>
      <c r="I165" s="8" t="s">
        <v>3056</v>
      </c>
    </row>
    <row r="166" spans="1:9" x14ac:dyDescent="0.3">
      <c r="A166" s="8" t="s">
        <v>19</v>
      </c>
      <c r="C166" s="8" t="s">
        <v>19</v>
      </c>
      <c r="E166" s="8" t="s">
        <v>19</v>
      </c>
      <c r="G166" s="8" t="s">
        <v>19</v>
      </c>
      <c r="I166" s="8" t="s">
        <v>19</v>
      </c>
    </row>
    <row r="167" spans="1:9" x14ac:dyDescent="0.3">
      <c r="A167" s="8" t="s">
        <v>42</v>
      </c>
      <c r="C167" s="8" t="s">
        <v>42</v>
      </c>
      <c r="E167" s="8" t="s">
        <v>42</v>
      </c>
      <c r="G167" s="8" t="s">
        <v>42</v>
      </c>
      <c r="I167" s="8" t="s">
        <v>42</v>
      </c>
    </row>
    <row r="168" spans="1:9" x14ac:dyDescent="0.3">
      <c r="A168" s="8" t="s">
        <v>2928</v>
      </c>
      <c r="C168" s="8" t="s">
        <v>2928</v>
      </c>
      <c r="E168" s="8" t="s">
        <v>2928</v>
      </c>
      <c r="G168" s="8" t="s">
        <v>2928</v>
      </c>
      <c r="I168" s="8" t="s">
        <v>2928</v>
      </c>
    </row>
    <row r="169" spans="1:9" x14ac:dyDescent="0.3">
      <c r="A169" s="8" t="s">
        <v>2929</v>
      </c>
      <c r="C169" s="8" t="s">
        <v>3393</v>
      </c>
      <c r="E169" s="8" t="s">
        <v>2876</v>
      </c>
      <c r="G169" s="8" t="s">
        <v>4089</v>
      </c>
      <c r="I169" s="8" t="s">
        <v>2876</v>
      </c>
    </row>
    <row r="170" spans="1:9" x14ac:dyDescent="0.3">
      <c r="A170" s="8" t="s">
        <v>20</v>
      </c>
      <c r="C170" s="8" t="s">
        <v>20</v>
      </c>
      <c r="E170" s="8" t="s">
        <v>20</v>
      </c>
      <c r="G170" s="8" t="s">
        <v>20</v>
      </c>
      <c r="I170" s="8" t="s">
        <v>20</v>
      </c>
    </row>
    <row r="171" spans="1:9" x14ac:dyDescent="0.3">
      <c r="A171" s="8" t="s">
        <v>21</v>
      </c>
      <c r="C171" s="8" t="s">
        <v>21</v>
      </c>
      <c r="E171" s="8" t="s">
        <v>21</v>
      </c>
      <c r="G171" s="8" t="s">
        <v>21</v>
      </c>
      <c r="I171" s="8" t="s">
        <v>21</v>
      </c>
    </row>
    <row r="172" spans="1:9" x14ac:dyDescent="0.3">
      <c r="A172" s="8" t="s">
        <v>43</v>
      </c>
      <c r="C172" s="8" t="s">
        <v>43</v>
      </c>
      <c r="E172" s="8" t="s">
        <v>43</v>
      </c>
      <c r="G172" s="8" t="s">
        <v>43</v>
      </c>
      <c r="I172" s="8" t="s">
        <v>43</v>
      </c>
    </row>
    <row r="173" spans="1:9" x14ac:dyDescent="0.3">
      <c r="A173" s="8" t="s">
        <v>44</v>
      </c>
      <c r="C173" s="8" t="s">
        <v>44</v>
      </c>
      <c r="E173" s="8" t="s">
        <v>44</v>
      </c>
      <c r="G173" s="8" t="s">
        <v>44</v>
      </c>
      <c r="I173" s="8" t="s">
        <v>44</v>
      </c>
    </row>
    <row r="174" spans="1:9" x14ac:dyDescent="0.3">
      <c r="A174" s="8" t="s">
        <v>2930</v>
      </c>
      <c r="C174" s="8" t="s">
        <v>2930</v>
      </c>
      <c r="E174" s="8" t="s">
        <v>2930</v>
      </c>
      <c r="G174" s="8" t="s">
        <v>2930</v>
      </c>
      <c r="I174" s="8" t="s">
        <v>2930</v>
      </c>
    </row>
    <row r="175" spans="1:9" x14ac:dyDescent="0.3">
      <c r="A175" s="8" t="s">
        <v>2931</v>
      </c>
      <c r="C175" s="8" t="s">
        <v>3394</v>
      </c>
      <c r="E175" s="8" t="s">
        <v>3898</v>
      </c>
      <c r="G175" s="8" t="s">
        <v>4090</v>
      </c>
      <c r="I175" s="8" t="s">
        <v>3322</v>
      </c>
    </row>
    <row r="176" spans="1:9" x14ac:dyDescent="0.3">
      <c r="A176" s="8" t="s">
        <v>20</v>
      </c>
      <c r="C176" s="8" t="s">
        <v>20</v>
      </c>
      <c r="E176" s="8" t="s">
        <v>20</v>
      </c>
      <c r="G176" s="8" t="s">
        <v>20</v>
      </c>
      <c r="I176" s="8" t="s">
        <v>20</v>
      </c>
    </row>
    <row r="177" spans="1:9" x14ac:dyDescent="0.3">
      <c r="A177" s="8" t="s">
        <v>22</v>
      </c>
      <c r="C177" s="8" t="s">
        <v>22</v>
      </c>
      <c r="E177" s="8" t="s">
        <v>22</v>
      </c>
      <c r="G177" s="8" t="s">
        <v>22</v>
      </c>
      <c r="I177" s="8" t="s">
        <v>22</v>
      </c>
    </row>
    <row r="178" spans="1:9" x14ac:dyDescent="0.3">
      <c r="A178" s="8" t="s">
        <v>24</v>
      </c>
      <c r="C178" s="8" t="s">
        <v>24</v>
      </c>
      <c r="E178" s="8" t="s">
        <v>24</v>
      </c>
      <c r="G178" s="8" t="s">
        <v>24</v>
      </c>
      <c r="I178" s="8" t="s">
        <v>24</v>
      </c>
    </row>
    <row r="179" spans="1:9" x14ac:dyDescent="0.3">
      <c r="A179" s="8" t="s">
        <v>25</v>
      </c>
      <c r="C179" s="8" t="s">
        <v>25</v>
      </c>
      <c r="E179" s="8" t="s">
        <v>25</v>
      </c>
      <c r="G179" s="8" t="s">
        <v>25</v>
      </c>
      <c r="I179" s="8" t="s">
        <v>25</v>
      </c>
    </row>
    <row r="180" spans="1:9" x14ac:dyDescent="0.3">
      <c r="G180" s="16"/>
    </row>
    <row r="181" spans="1:9" x14ac:dyDescent="0.3">
      <c r="G181" s="16"/>
    </row>
    <row r="184" spans="1:9" x14ac:dyDescent="0.3">
      <c r="E184" t="s">
        <v>3105</v>
      </c>
    </row>
    <row r="185" spans="1:9" x14ac:dyDescent="0.3">
      <c r="E185" t="s">
        <v>3809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5"/>
  <sheetViews>
    <sheetView topLeftCell="F1" workbookViewId="0">
      <pane ySplit="1" topLeftCell="A38" activePane="bottomLeft" state="frozen"/>
      <selection pane="bottomLeft" activeCell="G143" sqref="G143"/>
    </sheetView>
  </sheetViews>
  <sheetFormatPr defaultRowHeight="14.4" x14ac:dyDescent="0.3"/>
  <cols>
    <col min="1" max="1" width="104.88671875" bestFit="1" customWidth="1"/>
    <col min="2" max="2" width="8.44140625" style="5" bestFit="1" customWidth="1"/>
    <col min="3" max="3" width="87.6640625" bestFit="1" customWidth="1"/>
    <col min="4" max="4" width="8.44140625" style="5" bestFit="1" customWidth="1"/>
    <col min="5" max="5" width="86.5546875" bestFit="1" customWidth="1"/>
    <col min="6" max="6" width="8.44140625" style="5" bestFit="1" customWidth="1"/>
    <col min="7" max="7" width="83.5546875" bestFit="1" customWidth="1"/>
    <col min="8" max="8" width="8.44140625" style="5" bestFit="1" customWidth="1"/>
    <col min="9" max="9" width="104.5546875" bestFit="1" customWidth="1"/>
  </cols>
  <sheetData>
    <row r="1" spans="1:9" x14ac:dyDescent="0.3">
      <c r="A1" s="6" t="s">
        <v>1460</v>
      </c>
      <c r="B1" s="4"/>
      <c r="C1" s="6" t="s">
        <v>17</v>
      </c>
      <c r="D1" s="4"/>
      <c r="E1" s="13" t="s">
        <v>3063</v>
      </c>
      <c r="F1" s="4"/>
      <c r="G1" s="13" t="s">
        <v>3354</v>
      </c>
      <c r="H1" s="4"/>
      <c r="I1" s="13" t="s">
        <v>3355</v>
      </c>
    </row>
    <row r="2" spans="1:9" x14ac:dyDescent="0.3">
      <c r="A2" s="8" t="s">
        <v>18</v>
      </c>
      <c r="C2" s="8" t="s">
        <v>18</v>
      </c>
      <c r="E2" s="8" t="s">
        <v>3810</v>
      </c>
      <c r="G2" s="8" t="s">
        <v>18</v>
      </c>
      <c r="I2" s="8" t="s">
        <v>18</v>
      </c>
    </row>
    <row r="3" spans="1:9" x14ac:dyDescent="0.3">
      <c r="A3" s="8" t="s">
        <v>26</v>
      </c>
      <c r="C3" s="8" t="s">
        <v>26</v>
      </c>
      <c r="E3" s="8" t="s">
        <v>26</v>
      </c>
      <c r="G3" s="8" t="s">
        <v>26</v>
      </c>
      <c r="I3" s="8" t="s">
        <v>26</v>
      </c>
    </row>
    <row r="4" spans="1:9" x14ac:dyDescent="0.3">
      <c r="A4" s="8" t="s">
        <v>27</v>
      </c>
      <c r="C4" s="8" t="s">
        <v>27</v>
      </c>
      <c r="E4" s="8" t="s">
        <v>27</v>
      </c>
      <c r="G4" s="8" t="s">
        <v>27</v>
      </c>
      <c r="I4" s="8" t="s">
        <v>27</v>
      </c>
    </row>
    <row r="5" spans="1:9" x14ac:dyDescent="0.3">
      <c r="A5" s="8" t="s">
        <v>1386</v>
      </c>
      <c r="C5" s="8" t="s">
        <v>1386</v>
      </c>
      <c r="E5" s="8" t="s">
        <v>1386</v>
      </c>
      <c r="G5" s="8" t="s">
        <v>1386</v>
      </c>
      <c r="I5" s="8" t="s">
        <v>1386</v>
      </c>
    </row>
    <row r="6" spans="1:9" x14ac:dyDescent="0.3">
      <c r="A6" s="8" t="s">
        <v>2797</v>
      </c>
      <c r="C6" s="8" t="s">
        <v>1387</v>
      </c>
      <c r="E6" s="8" t="s">
        <v>3811</v>
      </c>
      <c r="G6" s="8" t="s">
        <v>3991</v>
      </c>
      <c r="I6" s="8" t="s">
        <v>2797</v>
      </c>
    </row>
    <row r="7" spans="1:9" x14ac:dyDescent="0.3">
      <c r="A7" s="8" t="s">
        <v>2798</v>
      </c>
      <c r="C7" s="8" t="s">
        <v>1388</v>
      </c>
      <c r="E7" s="8" t="s">
        <v>3812</v>
      </c>
      <c r="G7" s="8" t="s">
        <v>3992</v>
      </c>
      <c r="I7" s="8" t="s">
        <v>2798</v>
      </c>
    </row>
    <row r="8" spans="1:9" x14ac:dyDescent="0.3">
      <c r="A8" s="8" t="s">
        <v>2799</v>
      </c>
      <c r="C8" s="8" t="s">
        <v>1389</v>
      </c>
      <c r="E8" s="8" t="s">
        <v>3813</v>
      </c>
      <c r="G8" s="8" t="s">
        <v>3993</v>
      </c>
      <c r="I8" s="8" t="s">
        <v>2799</v>
      </c>
    </row>
    <row r="9" spans="1:9" x14ac:dyDescent="0.3">
      <c r="A9" s="8" t="s">
        <v>19</v>
      </c>
      <c r="C9" s="8" t="s">
        <v>19</v>
      </c>
      <c r="E9" s="8" t="s">
        <v>19</v>
      </c>
      <c r="G9" s="8" t="s">
        <v>19</v>
      </c>
      <c r="I9" s="8" t="s">
        <v>19</v>
      </c>
    </row>
    <row r="10" spans="1:9" x14ac:dyDescent="0.3">
      <c r="A10" s="8" t="s">
        <v>1390</v>
      </c>
      <c r="C10" s="8" t="s">
        <v>1390</v>
      </c>
      <c r="E10" s="8" t="s">
        <v>1390</v>
      </c>
      <c r="G10" s="8" t="s">
        <v>1390</v>
      </c>
      <c r="I10" s="8" t="s">
        <v>1390</v>
      </c>
    </row>
    <row r="11" spans="1:9" x14ac:dyDescent="0.3">
      <c r="A11" s="8" t="s">
        <v>2800</v>
      </c>
      <c r="C11" s="8" t="s">
        <v>1391</v>
      </c>
      <c r="E11" s="8" t="s">
        <v>3814</v>
      </c>
      <c r="G11" s="8" t="s">
        <v>3994</v>
      </c>
      <c r="I11" s="8" t="s">
        <v>2800</v>
      </c>
    </row>
    <row r="12" spans="1:9" x14ac:dyDescent="0.3">
      <c r="A12" s="8" t="s">
        <v>2801</v>
      </c>
      <c r="C12" s="8" t="s">
        <v>1392</v>
      </c>
      <c r="E12" s="8" t="s">
        <v>3815</v>
      </c>
      <c r="G12" s="8" t="s">
        <v>3995</v>
      </c>
      <c r="I12" s="8" t="s">
        <v>2801</v>
      </c>
    </row>
    <row r="13" spans="1:9" x14ac:dyDescent="0.3">
      <c r="A13" s="8" t="s">
        <v>2802</v>
      </c>
      <c r="C13" s="8" t="s">
        <v>1393</v>
      </c>
      <c r="E13" s="8" t="s">
        <v>3816</v>
      </c>
      <c r="G13" s="8" t="s">
        <v>3996</v>
      </c>
      <c r="I13" s="8" t="s">
        <v>2802</v>
      </c>
    </row>
    <row r="14" spans="1:9" x14ac:dyDescent="0.3">
      <c r="A14" s="8" t="s">
        <v>20</v>
      </c>
      <c r="C14" s="8" t="s">
        <v>20</v>
      </c>
      <c r="E14" s="8" t="s">
        <v>20</v>
      </c>
      <c r="G14" s="8" t="s">
        <v>20</v>
      </c>
      <c r="I14" s="8" t="s">
        <v>20</v>
      </c>
    </row>
    <row r="15" spans="1:9" x14ac:dyDescent="0.3">
      <c r="A15" s="8" t="s">
        <v>21</v>
      </c>
      <c r="C15" s="8" t="s">
        <v>21</v>
      </c>
      <c r="E15" s="8" t="s">
        <v>21</v>
      </c>
      <c r="G15" s="8" t="s">
        <v>21</v>
      </c>
      <c r="I15" s="8" t="s">
        <v>21</v>
      </c>
    </row>
    <row r="16" spans="1:9" x14ac:dyDescent="0.3">
      <c r="A16" s="8" t="s">
        <v>34</v>
      </c>
      <c r="C16" s="8" t="s">
        <v>34</v>
      </c>
      <c r="E16" s="8" t="s">
        <v>34</v>
      </c>
      <c r="G16" s="8" t="s">
        <v>34</v>
      </c>
      <c r="I16" s="8" t="s">
        <v>34</v>
      </c>
    </row>
    <row r="17" spans="1:9" x14ac:dyDescent="0.3">
      <c r="A17" s="8" t="s">
        <v>1386</v>
      </c>
      <c r="C17" s="8" t="s">
        <v>1386</v>
      </c>
      <c r="E17" s="8" t="s">
        <v>1386</v>
      </c>
      <c r="G17" s="8" t="s">
        <v>1386</v>
      </c>
      <c r="I17" s="8" t="s">
        <v>1386</v>
      </c>
    </row>
    <row r="18" spans="1:9" x14ac:dyDescent="0.3">
      <c r="A18" s="8" t="s">
        <v>2803</v>
      </c>
      <c r="C18" s="8" t="s">
        <v>1394</v>
      </c>
      <c r="E18" s="8" t="s">
        <v>3817</v>
      </c>
      <c r="G18" s="8" t="s">
        <v>3997</v>
      </c>
      <c r="I18" s="8" t="s">
        <v>2803</v>
      </c>
    </row>
    <row r="19" spans="1:9" x14ac:dyDescent="0.3">
      <c r="A19" s="8" t="s">
        <v>2804</v>
      </c>
      <c r="C19" s="8" t="s">
        <v>1395</v>
      </c>
      <c r="E19" s="8" t="s">
        <v>3818</v>
      </c>
      <c r="G19" s="8" t="s">
        <v>3998</v>
      </c>
      <c r="I19" s="8" t="s">
        <v>2804</v>
      </c>
    </row>
    <row r="20" spans="1:9" x14ac:dyDescent="0.3">
      <c r="A20" s="8" t="s">
        <v>2805</v>
      </c>
      <c r="C20" s="8" t="s">
        <v>1396</v>
      </c>
      <c r="E20" s="8" t="s">
        <v>3819</v>
      </c>
      <c r="G20" s="8" t="s">
        <v>3999</v>
      </c>
      <c r="I20" s="8" t="s">
        <v>2805</v>
      </c>
    </row>
    <row r="21" spans="1:9" x14ac:dyDescent="0.3">
      <c r="A21" s="8" t="s">
        <v>2806</v>
      </c>
      <c r="C21" s="8" t="s">
        <v>1397</v>
      </c>
      <c r="E21" s="8" t="s">
        <v>3820</v>
      </c>
      <c r="G21" s="8" t="s">
        <v>4000</v>
      </c>
      <c r="I21" s="8" t="s">
        <v>2806</v>
      </c>
    </row>
    <row r="22" spans="1:9" x14ac:dyDescent="0.3">
      <c r="A22" s="8" t="s">
        <v>2807</v>
      </c>
      <c r="C22" s="8" t="s">
        <v>1398</v>
      </c>
      <c r="E22" s="8" t="s">
        <v>3821</v>
      </c>
      <c r="G22" s="8" t="s">
        <v>4001</v>
      </c>
      <c r="I22" s="8" t="s">
        <v>2807</v>
      </c>
    </row>
    <row r="23" spans="1:9" x14ac:dyDescent="0.3">
      <c r="A23" s="8" t="s">
        <v>19</v>
      </c>
      <c r="C23" s="8" t="s">
        <v>19</v>
      </c>
      <c r="E23" s="8" t="s">
        <v>19</v>
      </c>
      <c r="G23" s="8" t="s">
        <v>19</v>
      </c>
      <c r="I23" s="8" t="s">
        <v>19</v>
      </c>
    </row>
    <row r="24" spans="1:9" x14ac:dyDescent="0.3">
      <c r="A24" s="8" t="s">
        <v>1390</v>
      </c>
      <c r="C24" s="8" t="s">
        <v>1390</v>
      </c>
      <c r="E24" s="8" t="s">
        <v>1390</v>
      </c>
      <c r="G24" s="8" t="s">
        <v>1390</v>
      </c>
      <c r="I24" s="8" t="s">
        <v>1390</v>
      </c>
    </row>
    <row r="25" spans="1:9" x14ac:dyDescent="0.3">
      <c r="A25" s="8" t="s">
        <v>2808</v>
      </c>
      <c r="C25" s="8" t="s">
        <v>1399</v>
      </c>
      <c r="E25" s="8" t="s">
        <v>3396</v>
      </c>
      <c r="G25" s="8" t="s">
        <v>4002</v>
      </c>
      <c r="I25" s="8" t="s">
        <v>3300</v>
      </c>
    </row>
    <row r="26" spans="1:9" x14ac:dyDescent="0.3">
      <c r="A26" s="8" t="s">
        <v>2809</v>
      </c>
      <c r="C26" s="8" t="s">
        <v>1400</v>
      </c>
      <c r="E26" s="8" t="s">
        <v>3822</v>
      </c>
      <c r="G26" s="8" t="s">
        <v>4003</v>
      </c>
      <c r="I26" s="8" t="s">
        <v>2809</v>
      </c>
    </row>
    <row r="27" spans="1:9" x14ac:dyDescent="0.3">
      <c r="A27" s="8" t="s">
        <v>2810</v>
      </c>
      <c r="C27" s="8" t="s">
        <v>1401</v>
      </c>
      <c r="E27" s="8" t="s">
        <v>3397</v>
      </c>
      <c r="G27" s="8" t="s">
        <v>4004</v>
      </c>
      <c r="I27" s="8" t="s">
        <v>2810</v>
      </c>
    </row>
    <row r="28" spans="1:9" x14ac:dyDescent="0.3">
      <c r="A28" s="8" t="s">
        <v>2811</v>
      </c>
      <c r="C28" s="8" t="s">
        <v>1402</v>
      </c>
      <c r="E28" s="8" t="s">
        <v>3823</v>
      </c>
      <c r="G28" s="8" t="s">
        <v>4005</v>
      </c>
      <c r="I28" s="8" t="s">
        <v>2811</v>
      </c>
    </row>
    <row r="29" spans="1:9" x14ac:dyDescent="0.3">
      <c r="A29" s="8" t="s">
        <v>2812</v>
      </c>
      <c r="C29" s="8" t="s">
        <v>1403</v>
      </c>
      <c r="E29" s="8" t="s">
        <v>3824</v>
      </c>
      <c r="G29" s="8" t="s">
        <v>4006</v>
      </c>
      <c r="I29" s="8" t="s">
        <v>3301</v>
      </c>
    </row>
    <row r="30" spans="1:9" x14ac:dyDescent="0.3">
      <c r="A30" s="8" t="s">
        <v>20</v>
      </c>
      <c r="C30" s="8" t="s">
        <v>20</v>
      </c>
      <c r="E30" s="8" t="s">
        <v>20</v>
      </c>
      <c r="G30" s="8" t="s">
        <v>20</v>
      </c>
      <c r="I30" s="8" t="s">
        <v>20</v>
      </c>
    </row>
    <row r="31" spans="1:9" x14ac:dyDescent="0.3">
      <c r="A31" s="8" t="s">
        <v>21</v>
      </c>
      <c r="C31" s="8" t="s">
        <v>21</v>
      </c>
      <c r="E31" s="8" t="s">
        <v>21</v>
      </c>
      <c r="G31" s="8" t="s">
        <v>21</v>
      </c>
      <c r="I31" s="8" t="s">
        <v>21</v>
      </c>
    </row>
    <row r="32" spans="1:9" x14ac:dyDescent="0.3">
      <c r="A32" s="8" t="s">
        <v>43</v>
      </c>
      <c r="C32" s="8" t="s">
        <v>43</v>
      </c>
      <c r="E32" s="8" t="s">
        <v>43</v>
      </c>
      <c r="G32" s="8" t="s">
        <v>43</v>
      </c>
      <c r="I32" s="8" t="s">
        <v>43</v>
      </c>
    </row>
    <row r="33" spans="1:9" x14ac:dyDescent="0.3">
      <c r="A33" s="8" t="s">
        <v>1386</v>
      </c>
      <c r="C33" s="8" t="s">
        <v>1386</v>
      </c>
      <c r="E33" s="8" t="s">
        <v>1386</v>
      </c>
      <c r="G33" s="8" t="s">
        <v>1386</v>
      </c>
      <c r="I33" s="8" t="s">
        <v>1386</v>
      </c>
    </row>
    <row r="34" spans="1:9" x14ac:dyDescent="0.3">
      <c r="A34" s="8" t="s">
        <v>2813</v>
      </c>
      <c r="C34" s="8" t="s">
        <v>1404</v>
      </c>
      <c r="E34" s="8" t="s">
        <v>3825</v>
      </c>
      <c r="G34" s="8" t="s">
        <v>4007</v>
      </c>
      <c r="I34" s="8" t="s">
        <v>2813</v>
      </c>
    </row>
    <row r="35" spans="1:9" x14ac:dyDescent="0.3">
      <c r="A35" s="8" t="s">
        <v>19</v>
      </c>
      <c r="C35" s="8" t="s">
        <v>19</v>
      </c>
      <c r="E35" s="8" t="s">
        <v>19</v>
      </c>
      <c r="G35" s="8" t="s">
        <v>19</v>
      </c>
      <c r="I35" s="8" t="s">
        <v>19</v>
      </c>
    </row>
    <row r="36" spans="1:9" x14ac:dyDescent="0.3">
      <c r="A36" s="8" t="s">
        <v>1390</v>
      </c>
      <c r="C36" s="8" t="s">
        <v>1390</v>
      </c>
      <c r="E36" s="8" t="s">
        <v>1390</v>
      </c>
      <c r="G36" s="8" t="s">
        <v>1390</v>
      </c>
      <c r="I36" s="8" t="s">
        <v>1390</v>
      </c>
    </row>
    <row r="37" spans="1:9" x14ac:dyDescent="0.3">
      <c r="A37" s="8" t="s">
        <v>2814</v>
      </c>
      <c r="C37" s="8" t="s">
        <v>1405</v>
      </c>
      <c r="E37" s="8" t="s">
        <v>3826</v>
      </c>
      <c r="G37" s="8" t="s">
        <v>4008</v>
      </c>
      <c r="I37" s="8" t="s">
        <v>2814</v>
      </c>
    </row>
    <row r="38" spans="1:9" x14ac:dyDescent="0.3">
      <c r="A38" s="8" t="s">
        <v>20</v>
      </c>
      <c r="C38" s="8" t="s">
        <v>20</v>
      </c>
      <c r="E38" s="8" t="s">
        <v>20</v>
      </c>
      <c r="G38" s="8" t="s">
        <v>20</v>
      </c>
      <c r="I38" s="8" t="s">
        <v>20</v>
      </c>
    </row>
    <row r="39" spans="1:9" x14ac:dyDescent="0.3">
      <c r="A39" s="8" t="s">
        <v>22</v>
      </c>
      <c r="C39" s="8" t="s">
        <v>22</v>
      </c>
      <c r="E39" s="8" t="s">
        <v>22</v>
      </c>
      <c r="G39" s="8" t="s">
        <v>22</v>
      </c>
      <c r="I39" s="8" t="s">
        <v>22</v>
      </c>
    </row>
    <row r="40" spans="1:9" x14ac:dyDescent="0.3">
      <c r="A40" s="8" t="s">
        <v>23</v>
      </c>
      <c r="C40" s="8" t="s">
        <v>23</v>
      </c>
      <c r="E40" s="8" t="s">
        <v>23</v>
      </c>
      <c r="G40" s="8" t="s">
        <v>23</v>
      </c>
      <c r="I40" s="8" t="s">
        <v>23</v>
      </c>
    </row>
    <row r="41" spans="1:9" x14ac:dyDescent="0.3">
      <c r="A41" s="8" t="s">
        <v>46</v>
      </c>
      <c r="C41" s="8" t="s">
        <v>46</v>
      </c>
      <c r="E41" s="8" t="s">
        <v>46</v>
      </c>
      <c r="G41" s="8" t="s">
        <v>46</v>
      </c>
      <c r="I41" s="8" t="s">
        <v>46</v>
      </c>
    </row>
    <row r="42" spans="1:9" x14ac:dyDescent="0.3">
      <c r="A42" s="8" t="s">
        <v>27</v>
      </c>
      <c r="C42" s="8" t="s">
        <v>27</v>
      </c>
      <c r="E42" s="8" t="s">
        <v>27</v>
      </c>
      <c r="G42" s="8" t="s">
        <v>27</v>
      </c>
      <c r="I42" s="8" t="s">
        <v>27</v>
      </c>
    </row>
    <row r="43" spans="1:9" x14ac:dyDescent="0.3">
      <c r="A43" s="8" t="s">
        <v>1386</v>
      </c>
      <c r="C43" s="8" t="s">
        <v>1386</v>
      </c>
      <c r="E43" s="8" t="s">
        <v>1386</v>
      </c>
      <c r="G43" s="8" t="s">
        <v>1386</v>
      </c>
      <c r="I43" s="8" t="s">
        <v>1386</v>
      </c>
    </row>
    <row r="44" spans="1:9" x14ac:dyDescent="0.3">
      <c r="A44" s="8" t="s">
        <v>2815</v>
      </c>
      <c r="C44" s="8" t="s">
        <v>1406</v>
      </c>
      <c r="E44" s="8" t="s">
        <v>3827</v>
      </c>
      <c r="G44" s="8" t="s">
        <v>4009</v>
      </c>
      <c r="I44" s="8" t="s">
        <v>2815</v>
      </c>
    </row>
    <row r="45" spans="1:9" x14ac:dyDescent="0.3">
      <c r="A45" s="8" t="s">
        <v>2816</v>
      </c>
      <c r="C45" s="8" t="s">
        <v>1407</v>
      </c>
      <c r="E45" s="8" t="s">
        <v>3828</v>
      </c>
      <c r="G45" s="8" t="s">
        <v>4010</v>
      </c>
      <c r="I45" s="8" t="s">
        <v>2816</v>
      </c>
    </row>
    <row r="46" spans="1:9" x14ac:dyDescent="0.3">
      <c r="A46" s="8" t="s">
        <v>2817</v>
      </c>
      <c r="C46" s="8" t="s">
        <v>1408</v>
      </c>
      <c r="E46" s="8" t="s">
        <v>3829</v>
      </c>
      <c r="G46" s="8" t="s">
        <v>4011</v>
      </c>
      <c r="I46" s="8" t="s">
        <v>2817</v>
      </c>
    </row>
    <row r="47" spans="1:9" x14ac:dyDescent="0.3">
      <c r="A47" s="8" t="s">
        <v>19</v>
      </c>
      <c r="C47" s="8" t="s">
        <v>19</v>
      </c>
      <c r="E47" s="8" t="s">
        <v>19</v>
      </c>
      <c r="G47" s="8" t="s">
        <v>19</v>
      </c>
      <c r="I47" s="8" t="s">
        <v>19</v>
      </c>
    </row>
    <row r="48" spans="1:9" x14ac:dyDescent="0.3">
      <c r="A48" s="8" t="s">
        <v>1390</v>
      </c>
      <c r="C48" s="8" t="s">
        <v>1390</v>
      </c>
      <c r="E48" s="8" t="s">
        <v>1390</v>
      </c>
      <c r="G48" s="8" t="s">
        <v>1390</v>
      </c>
      <c r="I48" s="8" t="s">
        <v>1390</v>
      </c>
    </row>
    <row r="49" spans="1:9" x14ac:dyDescent="0.3">
      <c r="A49" s="8" t="s">
        <v>2818</v>
      </c>
      <c r="C49" s="8" t="s">
        <v>1409</v>
      </c>
      <c r="E49" s="8" t="s">
        <v>3830</v>
      </c>
      <c r="G49" s="8" t="s">
        <v>4012</v>
      </c>
      <c r="I49" s="8" t="s">
        <v>2818</v>
      </c>
    </row>
    <row r="50" spans="1:9" x14ac:dyDescent="0.3">
      <c r="A50" s="8" t="s">
        <v>2819</v>
      </c>
      <c r="C50" s="8" t="s">
        <v>1410</v>
      </c>
      <c r="E50" s="8" t="s">
        <v>3831</v>
      </c>
      <c r="G50" s="8" t="s">
        <v>4013</v>
      </c>
      <c r="I50" s="8" t="s">
        <v>3302</v>
      </c>
    </row>
    <row r="51" spans="1:9" x14ac:dyDescent="0.3">
      <c r="A51" s="8" t="s">
        <v>2820</v>
      </c>
      <c r="C51" s="8" t="s">
        <v>1411</v>
      </c>
      <c r="E51" s="8" t="s">
        <v>3832</v>
      </c>
      <c r="G51" s="8" t="s">
        <v>4014</v>
      </c>
      <c r="I51" s="8" t="s">
        <v>2820</v>
      </c>
    </row>
    <row r="52" spans="1:9" x14ac:dyDescent="0.3">
      <c r="A52" s="8" t="s">
        <v>20</v>
      </c>
      <c r="C52" s="8" t="s">
        <v>20</v>
      </c>
      <c r="E52" s="8" t="s">
        <v>20</v>
      </c>
      <c r="G52" s="8" t="s">
        <v>20</v>
      </c>
      <c r="I52" s="8" t="s">
        <v>20</v>
      </c>
    </row>
    <row r="53" spans="1:9" x14ac:dyDescent="0.3">
      <c r="A53" s="8" t="s">
        <v>21</v>
      </c>
      <c r="C53" s="8" t="s">
        <v>21</v>
      </c>
      <c r="E53" s="8" t="s">
        <v>21</v>
      </c>
      <c r="G53" s="8" t="s">
        <v>21</v>
      </c>
      <c r="I53" s="8" t="s">
        <v>21</v>
      </c>
    </row>
    <row r="54" spans="1:9" x14ac:dyDescent="0.3">
      <c r="A54" s="8" t="s">
        <v>34</v>
      </c>
      <c r="C54" s="8" t="s">
        <v>34</v>
      </c>
      <c r="E54" s="8" t="s">
        <v>34</v>
      </c>
      <c r="G54" s="8" t="s">
        <v>34</v>
      </c>
      <c r="I54" s="8" t="s">
        <v>34</v>
      </c>
    </row>
    <row r="55" spans="1:9" x14ac:dyDescent="0.3">
      <c r="A55" s="8" t="s">
        <v>1386</v>
      </c>
      <c r="C55" s="8" t="s">
        <v>1386</v>
      </c>
      <c r="E55" s="8" t="s">
        <v>1386</v>
      </c>
      <c r="G55" s="8" t="s">
        <v>1386</v>
      </c>
      <c r="I55" s="8" t="s">
        <v>1386</v>
      </c>
    </row>
    <row r="56" spans="1:9" x14ac:dyDescent="0.3">
      <c r="A56" s="8" t="s">
        <v>2821</v>
      </c>
      <c r="C56" s="8" t="s">
        <v>1412</v>
      </c>
      <c r="E56" s="8" t="s">
        <v>3833</v>
      </c>
      <c r="G56" s="8" t="s">
        <v>4015</v>
      </c>
      <c r="I56" s="8" t="s">
        <v>2821</v>
      </c>
    </row>
    <row r="57" spans="1:9" x14ac:dyDescent="0.3">
      <c r="A57" s="8" t="s">
        <v>2822</v>
      </c>
      <c r="C57" s="8" t="s">
        <v>1413</v>
      </c>
      <c r="E57" s="8" t="s">
        <v>3834</v>
      </c>
      <c r="G57" s="8" t="s">
        <v>4016</v>
      </c>
      <c r="I57" s="8" t="s">
        <v>2822</v>
      </c>
    </row>
    <row r="58" spans="1:9" x14ac:dyDescent="0.3">
      <c r="A58" s="8" t="s">
        <v>2823</v>
      </c>
      <c r="C58" s="8" t="s">
        <v>1414</v>
      </c>
      <c r="E58" s="8" t="s">
        <v>3835</v>
      </c>
      <c r="G58" s="8" t="s">
        <v>4017</v>
      </c>
      <c r="I58" s="8" t="s">
        <v>2823</v>
      </c>
    </row>
    <row r="59" spans="1:9" x14ac:dyDescent="0.3">
      <c r="A59" s="8" t="s">
        <v>2824</v>
      </c>
      <c r="C59" s="8" t="s">
        <v>1415</v>
      </c>
      <c r="E59" s="8" t="s">
        <v>3836</v>
      </c>
      <c r="G59" s="8" t="s">
        <v>4018</v>
      </c>
      <c r="I59" s="8" t="s">
        <v>2824</v>
      </c>
    </row>
    <row r="60" spans="1:9" x14ac:dyDescent="0.3">
      <c r="A60" s="8" t="s">
        <v>2825</v>
      </c>
      <c r="C60" s="8" t="s">
        <v>1416</v>
      </c>
      <c r="E60" s="8" t="s">
        <v>3837</v>
      </c>
      <c r="G60" s="8" t="s">
        <v>4019</v>
      </c>
      <c r="I60" s="8" t="s">
        <v>2825</v>
      </c>
    </row>
    <row r="61" spans="1:9" x14ac:dyDescent="0.3">
      <c r="A61" s="8" t="s">
        <v>19</v>
      </c>
      <c r="C61" s="8" t="s">
        <v>19</v>
      </c>
      <c r="E61" s="8" t="s">
        <v>19</v>
      </c>
      <c r="G61" s="8" t="s">
        <v>19</v>
      </c>
      <c r="I61" s="8" t="s">
        <v>19</v>
      </c>
    </row>
    <row r="62" spans="1:9" x14ac:dyDescent="0.3">
      <c r="A62" s="8" t="s">
        <v>1390</v>
      </c>
      <c r="C62" s="8" t="s">
        <v>1390</v>
      </c>
      <c r="E62" s="8" t="s">
        <v>1390</v>
      </c>
      <c r="G62" s="8" t="s">
        <v>1390</v>
      </c>
      <c r="I62" s="8" t="s">
        <v>1390</v>
      </c>
    </row>
    <row r="63" spans="1:9" x14ac:dyDescent="0.3">
      <c r="A63" s="8" t="s">
        <v>2826</v>
      </c>
      <c r="C63" s="8" t="s">
        <v>1417</v>
      </c>
      <c r="E63" s="8" t="s">
        <v>3838</v>
      </c>
      <c r="G63" s="8" t="s">
        <v>4020</v>
      </c>
      <c r="I63" s="8" t="s">
        <v>3303</v>
      </c>
    </row>
    <row r="64" spans="1:9" x14ac:dyDescent="0.3">
      <c r="A64" s="8" t="s">
        <v>2827</v>
      </c>
      <c r="C64" s="8" t="s">
        <v>1418</v>
      </c>
      <c r="E64" s="8" t="s">
        <v>3839</v>
      </c>
      <c r="G64" s="8" t="s">
        <v>4021</v>
      </c>
      <c r="I64" s="8" t="s">
        <v>2827</v>
      </c>
    </row>
    <row r="65" spans="1:9" x14ac:dyDescent="0.3">
      <c r="A65" s="8" t="s">
        <v>2828</v>
      </c>
      <c r="C65" s="8" t="s">
        <v>1419</v>
      </c>
      <c r="E65" s="8" t="s">
        <v>3840</v>
      </c>
      <c r="G65" s="8" t="s">
        <v>4022</v>
      </c>
      <c r="I65" s="8" t="s">
        <v>2828</v>
      </c>
    </row>
    <row r="66" spans="1:9" x14ac:dyDescent="0.3">
      <c r="A66" s="8" t="s">
        <v>2829</v>
      </c>
      <c r="C66" s="8" t="s">
        <v>1420</v>
      </c>
      <c r="E66" s="8" t="s">
        <v>3841</v>
      </c>
      <c r="G66" s="8" t="s">
        <v>4023</v>
      </c>
      <c r="I66" s="8" t="s">
        <v>2829</v>
      </c>
    </row>
    <row r="67" spans="1:9" x14ac:dyDescent="0.3">
      <c r="A67" s="8" t="s">
        <v>2830</v>
      </c>
      <c r="C67" s="8" t="s">
        <v>1421</v>
      </c>
      <c r="E67" s="8" t="s">
        <v>3842</v>
      </c>
      <c r="G67" s="8" t="s">
        <v>4024</v>
      </c>
      <c r="I67" s="8" t="s">
        <v>2830</v>
      </c>
    </row>
    <row r="68" spans="1:9" x14ac:dyDescent="0.3">
      <c r="A68" s="8" t="s">
        <v>20</v>
      </c>
      <c r="C68" s="8" t="s">
        <v>20</v>
      </c>
      <c r="E68" s="8" t="s">
        <v>20</v>
      </c>
      <c r="G68" s="8" t="s">
        <v>20</v>
      </c>
      <c r="I68" s="8" t="s">
        <v>20</v>
      </c>
    </row>
    <row r="69" spans="1:9" x14ac:dyDescent="0.3">
      <c r="A69" s="8" t="s">
        <v>21</v>
      </c>
      <c r="C69" s="8" t="s">
        <v>21</v>
      </c>
      <c r="E69" s="8" t="s">
        <v>21</v>
      </c>
      <c r="G69" s="8" t="s">
        <v>21</v>
      </c>
      <c r="I69" s="8" t="s">
        <v>21</v>
      </c>
    </row>
    <row r="70" spans="1:9" x14ac:dyDescent="0.3">
      <c r="A70" s="8" t="s">
        <v>43</v>
      </c>
      <c r="C70" s="8" t="s">
        <v>43</v>
      </c>
      <c r="E70" s="8" t="s">
        <v>43</v>
      </c>
      <c r="G70" s="8" t="s">
        <v>43</v>
      </c>
      <c r="I70" s="8" t="s">
        <v>43</v>
      </c>
    </row>
    <row r="71" spans="1:9" x14ac:dyDescent="0.3">
      <c r="A71" s="8" t="s">
        <v>1386</v>
      </c>
      <c r="C71" s="8" t="s">
        <v>1386</v>
      </c>
      <c r="E71" s="8" t="s">
        <v>1386</v>
      </c>
      <c r="G71" s="8" t="s">
        <v>1386</v>
      </c>
      <c r="I71" s="8" t="s">
        <v>1386</v>
      </c>
    </row>
    <row r="72" spans="1:9" x14ac:dyDescent="0.3">
      <c r="A72" s="8" t="s">
        <v>2831</v>
      </c>
      <c r="C72" s="8" t="s">
        <v>1422</v>
      </c>
      <c r="E72" s="8" t="s">
        <v>3843</v>
      </c>
      <c r="G72" s="8" t="s">
        <v>4025</v>
      </c>
      <c r="I72" s="8" t="s">
        <v>2831</v>
      </c>
    </row>
    <row r="73" spans="1:9" x14ac:dyDescent="0.3">
      <c r="A73" s="8" t="s">
        <v>19</v>
      </c>
      <c r="C73" s="8" t="s">
        <v>19</v>
      </c>
      <c r="E73" s="8" t="s">
        <v>19</v>
      </c>
      <c r="G73" s="8" t="s">
        <v>19</v>
      </c>
      <c r="I73" s="8" t="s">
        <v>19</v>
      </c>
    </row>
    <row r="74" spans="1:9" x14ac:dyDescent="0.3">
      <c r="A74" s="8" t="s">
        <v>1390</v>
      </c>
      <c r="C74" s="8" t="s">
        <v>1390</v>
      </c>
      <c r="E74" s="8" t="s">
        <v>1390</v>
      </c>
      <c r="G74" s="8" t="s">
        <v>1390</v>
      </c>
      <c r="I74" s="8" t="s">
        <v>1390</v>
      </c>
    </row>
    <row r="75" spans="1:9" x14ac:dyDescent="0.3">
      <c r="A75" s="8" t="s">
        <v>2832</v>
      </c>
      <c r="C75" s="8" t="s">
        <v>1423</v>
      </c>
      <c r="E75" s="8" t="s">
        <v>3844</v>
      </c>
      <c r="G75" s="8" t="s">
        <v>4026</v>
      </c>
      <c r="I75" s="8" t="s">
        <v>2832</v>
      </c>
    </row>
    <row r="76" spans="1:9" x14ac:dyDescent="0.3">
      <c r="A76" s="8" t="s">
        <v>20</v>
      </c>
      <c r="C76" s="8" t="s">
        <v>20</v>
      </c>
      <c r="E76" s="8" t="s">
        <v>20</v>
      </c>
      <c r="G76" s="8" t="s">
        <v>20</v>
      </c>
      <c r="I76" s="8" t="s">
        <v>20</v>
      </c>
    </row>
    <row r="77" spans="1:9" x14ac:dyDescent="0.3">
      <c r="A77" s="8" t="s">
        <v>22</v>
      </c>
      <c r="C77" s="8" t="s">
        <v>22</v>
      </c>
      <c r="E77" s="8" t="s">
        <v>22</v>
      </c>
      <c r="G77" s="8" t="s">
        <v>22</v>
      </c>
      <c r="I77" s="8" t="s">
        <v>22</v>
      </c>
    </row>
    <row r="78" spans="1:9" x14ac:dyDescent="0.3">
      <c r="A78" s="8" t="s">
        <v>23</v>
      </c>
      <c r="C78" s="8" t="s">
        <v>23</v>
      </c>
      <c r="E78" s="8" t="s">
        <v>23</v>
      </c>
      <c r="G78" s="8" t="s">
        <v>23</v>
      </c>
      <c r="I78" s="8" t="s">
        <v>23</v>
      </c>
    </row>
    <row r="79" spans="1:9" x14ac:dyDescent="0.3">
      <c r="A79" s="8" t="s">
        <v>56</v>
      </c>
      <c r="C79" s="8" t="s">
        <v>56</v>
      </c>
      <c r="E79" s="8" t="s">
        <v>56</v>
      </c>
      <c r="G79" s="8" t="s">
        <v>56</v>
      </c>
      <c r="I79" s="8" t="s">
        <v>56</v>
      </c>
    </row>
    <row r="80" spans="1:9" x14ac:dyDescent="0.3">
      <c r="A80" s="8" t="s">
        <v>27</v>
      </c>
      <c r="C80" s="8" t="s">
        <v>27</v>
      </c>
      <c r="E80" s="8" t="s">
        <v>27</v>
      </c>
      <c r="G80" s="8" t="s">
        <v>27</v>
      </c>
      <c r="I80" s="8" t="s">
        <v>27</v>
      </c>
    </row>
    <row r="81" spans="1:9" x14ac:dyDescent="0.3">
      <c r="A81" s="8" t="s">
        <v>1386</v>
      </c>
      <c r="C81" s="8" t="s">
        <v>1386</v>
      </c>
      <c r="E81" s="8" t="s">
        <v>1386</v>
      </c>
      <c r="G81" s="8" t="s">
        <v>1386</v>
      </c>
      <c r="I81" s="8" t="s">
        <v>1386</v>
      </c>
    </row>
    <row r="82" spans="1:9" x14ac:dyDescent="0.3">
      <c r="A82" s="8" t="s">
        <v>2833</v>
      </c>
      <c r="C82" s="8" t="s">
        <v>1424</v>
      </c>
      <c r="E82" s="8" t="s">
        <v>3845</v>
      </c>
      <c r="G82" s="8" t="s">
        <v>4027</v>
      </c>
      <c r="I82" s="8" t="s">
        <v>2833</v>
      </c>
    </row>
    <row r="83" spans="1:9" x14ac:dyDescent="0.3">
      <c r="A83" s="8" t="s">
        <v>2834</v>
      </c>
      <c r="C83" s="8" t="s">
        <v>1425</v>
      </c>
      <c r="E83" s="8" t="s">
        <v>3846</v>
      </c>
      <c r="G83" s="8" t="s">
        <v>4028</v>
      </c>
      <c r="I83" s="8" t="s">
        <v>2834</v>
      </c>
    </row>
    <row r="84" spans="1:9" x14ac:dyDescent="0.3">
      <c r="A84" s="8" t="s">
        <v>2835</v>
      </c>
      <c r="C84" s="8" t="s">
        <v>1426</v>
      </c>
      <c r="E84" s="8" t="s">
        <v>3847</v>
      </c>
      <c r="G84" s="8" t="s">
        <v>4029</v>
      </c>
      <c r="I84" s="8" t="s">
        <v>2835</v>
      </c>
    </row>
    <row r="85" spans="1:9" x14ac:dyDescent="0.3">
      <c r="A85" s="8" t="s">
        <v>19</v>
      </c>
      <c r="C85" s="8" t="s">
        <v>19</v>
      </c>
      <c r="E85" s="8" t="s">
        <v>19</v>
      </c>
      <c r="G85" s="8" t="s">
        <v>19</v>
      </c>
      <c r="I85" s="8" t="s">
        <v>19</v>
      </c>
    </row>
    <row r="86" spans="1:9" x14ac:dyDescent="0.3">
      <c r="A86" s="8" t="s">
        <v>1390</v>
      </c>
      <c r="C86" s="8" t="s">
        <v>1390</v>
      </c>
      <c r="E86" s="8" t="s">
        <v>1390</v>
      </c>
      <c r="G86" s="8" t="s">
        <v>1390</v>
      </c>
      <c r="I86" s="8" t="s">
        <v>1390</v>
      </c>
    </row>
    <row r="87" spans="1:9" x14ac:dyDescent="0.3">
      <c r="A87" s="8" t="s">
        <v>2836</v>
      </c>
      <c r="C87" s="8" t="s">
        <v>1427</v>
      </c>
      <c r="E87" s="8" t="s">
        <v>3848</v>
      </c>
      <c r="G87" s="8" t="s">
        <v>4030</v>
      </c>
      <c r="I87" s="8" t="s">
        <v>2836</v>
      </c>
    </row>
    <row r="88" spans="1:9" x14ac:dyDescent="0.3">
      <c r="A88" s="8" t="s">
        <v>2837</v>
      </c>
      <c r="C88" s="8" t="s">
        <v>1428</v>
      </c>
      <c r="E88" s="8" t="s">
        <v>3849</v>
      </c>
      <c r="G88" s="8" t="s">
        <v>4031</v>
      </c>
      <c r="I88" s="8" t="s">
        <v>2837</v>
      </c>
    </row>
    <row r="89" spans="1:9" x14ac:dyDescent="0.3">
      <c r="A89" s="8" t="s">
        <v>2838</v>
      </c>
      <c r="C89" s="8" t="s">
        <v>1429</v>
      </c>
      <c r="E89" s="8" t="s">
        <v>3850</v>
      </c>
      <c r="G89" s="8" t="s">
        <v>4032</v>
      </c>
      <c r="I89" s="8" t="s">
        <v>2838</v>
      </c>
    </row>
    <row r="90" spans="1:9" x14ac:dyDescent="0.3">
      <c r="A90" s="8" t="s">
        <v>20</v>
      </c>
      <c r="C90" s="8" t="s">
        <v>20</v>
      </c>
      <c r="E90" s="8" t="s">
        <v>20</v>
      </c>
      <c r="G90" s="8" t="s">
        <v>20</v>
      </c>
      <c r="I90" s="8" t="s">
        <v>20</v>
      </c>
    </row>
    <row r="91" spans="1:9" x14ac:dyDescent="0.3">
      <c r="A91" s="8" t="s">
        <v>21</v>
      </c>
      <c r="C91" s="8" t="s">
        <v>21</v>
      </c>
      <c r="E91" s="8" t="s">
        <v>21</v>
      </c>
      <c r="G91" s="8" t="s">
        <v>21</v>
      </c>
      <c r="I91" s="8" t="s">
        <v>21</v>
      </c>
    </row>
    <row r="92" spans="1:9" x14ac:dyDescent="0.3">
      <c r="A92" s="8" t="s">
        <v>34</v>
      </c>
      <c r="C92" s="8" t="s">
        <v>34</v>
      </c>
      <c r="E92" s="8" t="s">
        <v>34</v>
      </c>
      <c r="G92" s="8" t="s">
        <v>34</v>
      </c>
      <c r="I92" s="8" t="s">
        <v>34</v>
      </c>
    </row>
    <row r="93" spans="1:9" x14ac:dyDescent="0.3">
      <c r="A93" s="8" t="s">
        <v>1386</v>
      </c>
      <c r="C93" s="8" t="s">
        <v>1386</v>
      </c>
      <c r="E93" s="8" t="s">
        <v>1386</v>
      </c>
      <c r="G93" s="8" t="s">
        <v>1386</v>
      </c>
      <c r="I93" s="8" t="s">
        <v>1386</v>
      </c>
    </row>
    <row r="94" spans="1:9" x14ac:dyDescent="0.3">
      <c r="A94" s="8" t="s">
        <v>2839</v>
      </c>
      <c r="C94" s="8" t="s">
        <v>1430</v>
      </c>
      <c r="E94" s="8" t="s">
        <v>3851</v>
      </c>
      <c r="G94" s="8" t="s">
        <v>4033</v>
      </c>
      <c r="I94" s="8" t="s">
        <v>2839</v>
      </c>
    </row>
    <row r="95" spans="1:9" x14ac:dyDescent="0.3">
      <c r="A95" s="8" t="s">
        <v>2840</v>
      </c>
      <c r="C95" s="8" t="s">
        <v>1431</v>
      </c>
      <c r="E95" s="8" t="s">
        <v>3852</v>
      </c>
      <c r="G95" s="8" t="s">
        <v>4034</v>
      </c>
      <c r="I95" s="8" t="s">
        <v>2840</v>
      </c>
    </row>
    <row r="96" spans="1:9" x14ac:dyDescent="0.3">
      <c r="A96" s="8" t="s">
        <v>2841</v>
      </c>
      <c r="C96" s="8" t="s">
        <v>1432</v>
      </c>
      <c r="E96" s="8" t="s">
        <v>3853</v>
      </c>
      <c r="G96" s="8" t="s">
        <v>4035</v>
      </c>
      <c r="I96" s="8" t="s">
        <v>2841</v>
      </c>
    </row>
    <row r="97" spans="1:9" x14ac:dyDescent="0.3">
      <c r="A97" s="8" t="s">
        <v>2842</v>
      </c>
      <c r="C97" s="8" t="s">
        <v>1433</v>
      </c>
      <c r="E97" s="8" t="s">
        <v>3854</v>
      </c>
      <c r="G97" s="8" t="s">
        <v>4036</v>
      </c>
      <c r="I97" s="8" t="s">
        <v>2842</v>
      </c>
    </row>
    <row r="98" spans="1:9" x14ac:dyDescent="0.3">
      <c r="A98" s="8" t="s">
        <v>2843</v>
      </c>
      <c r="C98" s="8" t="s">
        <v>1434</v>
      </c>
      <c r="E98" s="8" t="s">
        <v>3855</v>
      </c>
      <c r="G98" s="8" t="s">
        <v>4037</v>
      </c>
      <c r="I98" s="8" t="s">
        <v>2843</v>
      </c>
    </row>
    <row r="99" spans="1:9" x14ac:dyDescent="0.3">
      <c r="A99" s="8" t="s">
        <v>19</v>
      </c>
      <c r="C99" s="8" t="s">
        <v>19</v>
      </c>
      <c r="E99" s="8" t="s">
        <v>19</v>
      </c>
      <c r="G99" s="8" t="s">
        <v>19</v>
      </c>
      <c r="I99" s="8" t="s">
        <v>19</v>
      </c>
    </row>
    <row r="100" spans="1:9" x14ac:dyDescent="0.3">
      <c r="A100" s="8" t="s">
        <v>1390</v>
      </c>
      <c r="C100" s="8" t="s">
        <v>1390</v>
      </c>
      <c r="E100" s="8" t="s">
        <v>1390</v>
      </c>
      <c r="G100" s="8" t="s">
        <v>1390</v>
      </c>
      <c r="I100" s="8" t="s">
        <v>1390</v>
      </c>
    </row>
    <row r="101" spans="1:9" x14ac:dyDescent="0.3">
      <c r="A101" s="8" t="s">
        <v>2844</v>
      </c>
      <c r="C101" s="8" t="s">
        <v>1435</v>
      </c>
      <c r="E101" s="8" t="s">
        <v>3856</v>
      </c>
      <c r="G101" s="8" t="s">
        <v>4038</v>
      </c>
      <c r="I101" s="8" t="s">
        <v>2844</v>
      </c>
    </row>
    <row r="102" spans="1:9" x14ac:dyDescent="0.3">
      <c r="A102" s="8" t="s">
        <v>2845</v>
      </c>
      <c r="C102" s="8" t="s">
        <v>1436</v>
      </c>
      <c r="E102" s="8" t="s">
        <v>3857</v>
      </c>
      <c r="G102" s="8" t="s">
        <v>4039</v>
      </c>
      <c r="I102" s="8" t="s">
        <v>2845</v>
      </c>
    </row>
    <row r="103" spans="1:9" x14ac:dyDescent="0.3">
      <c r="A103" s="8" t="s">
        <v>2846</v>
      </c>
      <c r="C103" s="8" t="s">
        <v>1437</v>
      </c>
      <c r="E103" s="8" t="s">
        <v>3858</v>
      </c>
      <c r="G103" s="8" t="s">
        <v>4040</v>
      </c>
      <c r="I103" s="8" t="s">
        <v>2846</v>
      </c>
    </row>
    <row r="104" spans="1:9" x14ac:dyDescent="0.3">
      <c r="A104" s="8" t="s">
        <v>2847</v>
      </c>
      <c r="C104" s="8" t="s">
        <v>1438</v>
      </c>
      <c r="E104" s="8" t="s">
        <v>3859</v>
      </c>
      <c r="G104" s="8" t="s">
        <v>4041</v>
      </c>
      <c r="I104" s="8" t="s">
        <v>2847</v>
      </c>
    </row>
    <row r="105" spans="1:9" x14ac:dyDescent="0.3">
      <c r="A105" s="8" t="s">
        <v>2848</v>
      </c>
      <c r="C105" s="8" t="s">
        <v>1439</v>
      </c>
      <c r="E105" s="8" t="s">
        <v>3860</v>
      </c>
      <c r="G105" s="8" t="s">
        <v>4042</v>
      </c>
      <c r="I105" s="8" t="s">
        <v>3304</v>
      </c>
    </row>
    <row r="106" spans="1:9" x14ac:dyDescent="0.3">
      <c r="A106" s="8" t="s">
        <v>20</v>
      </c>
      <c r="C106" s="8" t="s">
        <v>20</v>
      </c>
      <c r="E106" s="8" t="s">
        <v>20</v>
      </c>
      <c r="G106" s="8" t="s">
        <v>20</v>
      </c>
      <c r="I106" s="8" t="s">
        <v>20</v>
      </c>
    </row>
    <row r="107" spans="1:9" x14ac:dyDescent="0.3">
      <c r="A107" s="8" t="s">
        <v>21</v>
      </c>
      <c r="C107" s="8" t="s">
        <v>21</v>
      </c>
      <c r="E107" s="8" t="s">
        <v>21</v>
      </c>
      <c r="G107" s="8" t="s">
        <v>21</v>
      </c>
      <c r="I107" s="8" t="s">
        <v>21</v>
      </c>
    </row>
    <row r="108" spans="1:9" x14ac:dyDescent="0.3">
      <c r="A108" s="8" t="s">
        <v>43</v>
      </c>
      <c r="C108" s="8" t="s">
        <v>43</v>
      </c>
      <c r="E108" s="8" t="s">
        <v>43</v>
      </c>
      <c r="G108" s="8" t="s">
        <v>43</v>
      </c>
      <c r="I108" s="8" t="s">
        <v>43</v>
      </c>
    </row>
    <row r="109" spans="1:9" x14ac:dyDescent="0.3">
      <c r="A109" s="8" t="s">
        <v>1386</v>
      </c>
      <c r="C109" s="8" t="s">
        <v>1386</v>
      </c>
      <c r="E109" s="8" t="s">
        <v>1386</v>
      </c>
      <c r="G109" s="8" t="s">
        <v>1386</v>
      </c>
      <c r="I109" s="8" t="s">
        <v>1386</v>
      </c>
    </row>
    <row r="110" spans="1:9" x14ac:dyDescent="0.3">
      <c r="A110" s="8" t="s">
        <v>2849</v>
      </c>
      <c r="C110" s="8" t="s">
        <v>1440</v>
      </c>
      <c r="E110" s="8" t="s">
        <v>3861</v>
      </c>
      <c r="G110" s="8" t="s">
        <v>4043</v>
      </c>
      <c r="I110" s="8" t="s">
        <v>2849</v>
      </c>
    </row>
    <row r="111" spans="1:9" x14ac:dyDescent="0.3">
      <c r="A111" s="8" t="s">
        <v>19</v>
      </c>
      <c r="C111" s="8" t="s">
        <v>19</v>
      </c>
      <c r="E111" s="8" t="s">
        <v>19</v>
      </c>
      <c r="G111" s="8" t="s">
        <v>19</v>
      </c>
      <c r="I111" s="8" t="s">
        <v>19</v>
      </c>
    </row>
    <row r="112" spans="1:9" x14ac:dyDescent="0.3">
      <c r="A112" s="8" t="s">
        <v>1390</v>
      </c>
      <c r="C112" s="8" t="s">
        <v>1390</v>
      </c>
      <c r="E112" s="8" t="s">
        <v>1390</v>
      </c>
      <c r="G112" s="8" t="s">
        <v>1390</v>
      </c>
      <c r="I112" s="8" t="s">
        <v>1390</v>
      </c>
    </row>
    <row r="113" spans="1:9" x14ac:dyDescent="0.3">
      <c r="A113" s="8" t="s">
        <v>2850</v>
      </c>
      <c r="C113" s="8" t="s">
        <v>1441</v>
      </c>
      <c r="E113" s="8" t="s">
        <v>3862</v>
      </c>
      <c r="G113" s="8" t="s">
        <v>3084</v>
      </c>
      <c r="I113" s="8" t="s">
        <v>2850</v>
      </c>
    </row>
    <row r="114" spans="1:9" x14ac:dyDescent="0.3">
      <c r="A114" s="8" t="s">
        <v>20</v>
      </c>
      <c r="C114" s="8" t="s">
        <v>20</v>
      </c>
      <c r="E114" s="8" t="s">
        <v>20</v>
      </c>
      <c r="G114" s="8" t="s">
        <v>20</v>
      </c>
      <c r="I114" s="8" t="s">
        <v>20</v>
      </c>
    </row>
    <row r="115" spans="1:9" x14ac:dyDescent="0.3">
      <c r="A115" s="8" t="s">
        <v>22</v>
      </c>
      <c r="C115" s="8" t="s">
        <v>22</v>
      </c>
      <c r="E115" s="8" t="s">
        <v>22</v>
      </c>
      <c r="G115" s="8" t="s">
        <v>22</v>
      </c>
      <c r="I115" s="8" t="s">
        <v>22</v>
      </c>
    </row>
    <row r="116" spans="1:9" x14ac:dyDescent="0.3">
      <c r="A116" s="8" t="s">
        <v>23</v>
      </c>
      <c r="C116" s="8" t="s">
        <v>23</v>
      </c>
      <c r="E116" s="8" t="s">
        <v>23</v>
      </c>
      <c r="G116" s="8" t="s">
        <v>23</v>
      </c>
      <c r="I116" s="8" t="s">
        <v>23</v>
      </c>
    </row>
    <row r="117" spans="1:9" x14ac:dyDescent="0.3">
      <c r="A117" s="8" t="s">
        <v>60</v>
      </c>
      <c r="C117" s="8" t="s">
        <v>60</v>
      </c>
      <c r="E117" s="8" t="s">
        <v>60</v>
      </c>
      <c r="G117" s="8" t="s">
        <v>60</v>
      </c>
      <c r="I117" s="8" t="s">
        <v>60</v>
      </c>
    </row>
    <row r="118" spans="1:9" x14ac:dyDescent="0.3">
      <c r="A118" s="8" t="s">
        <v>27</v>
      </c>
      <c r="C118" s="8" t="s">
        <v>27</v>
      </c>
      <c r="E118" s="8" t="s">
        <v>27</v>
      </c>
      <c r="G118" s="8" t="s">
        <v>27</v>
      </c>
      <c r="I118" s="8" t="s">
        <v>27</v>
      </c>
    </row>
    <row r="119" spans="1:9" x14ac:dyDescent="0.3">
      <c r="A119" s="8" t="s">
        <v>1386</v>
      </c>
      <c r="C119" s="8" t="s">
        <v>1386</v>
      </c>
      <c r="E119" s="8" t="s">
        <v>1386</v>
      </c>
      <c r="G119" s="8" t="s">
        <v>1386</v>
      </c>
      <c r="I119" s="8" t="s">
        <v>1386</v>
      </c>
    </row>
    <row r="120" spans="1:9" x14ac:dyDescent="0.3">
      <c r="A120" s="8" t="s">
        <v>2851</v>
      </c>
      <c r="C120" s="8" t="s">
        <v>1442</v>
      </c>
      <c r="E120" s="8" t="s">
        <v>3863</v>
      </c>
      <c r="G120" s="8" t="s">
        <v>4044</v>
      </c>
      <c r="I120" s="8" t="s">
        <v>2851</v>
      </c>
    </row>
    <row r="121" spans="1:9" x14ac:dyDescent="0.3">
      <c r="A121" s="8" t="s">
        <v>2852</v>
      </c>
      <c r="C121" s="8" t="s">
        <v>1443</v>
      </c>
      <c r="E121" s="8" t="s">
        <v>3864</v>
      </c>
      <c r="G121" s="8" t="s">
        <v>4045</v>
      </c>
      <c r="I121" s="8" t="s">
        <v>2852</v>
      </c>
    </row>
    <row r="122" spans="1:9" x14ac:dyDescent="0.3">
      <c r="A122" s="8" t="s">
        <v>2853</v>
      </c>
      <c r="C122" s="8" t="s">
        <v>1444</v>
      </c>
      <c r="E122" s="8" t="s">
        <v>3865</v>
      </c>
      <c r="G122" s="8" t="s">
        <v>4046</v>
      </c>
      <c r="I122" s="8" t="s">
        <v>2853</v>
      </c>
    </row>
    <row r="123" spans="1:9" x14ac:dyDescent="0.3">
      <c r="A123" s="8" t="s">
        <v>19</v>
      </c>
      <c r="C123" s="8" t="s">
        <v>19</v>
      </c>
      <c r="E123" s="8" t="s">
        <v>19</v>
      </c>
      <c r="G123" s="8" t="s">
        <v>19</v>
      </c>
      <c r="I123" s="8" t="s">
        <v>19</v>
      </c>
    </row>
    <row r="124" spans="1:9" x14ac:dyDescent="0.3">
      <c r="A124" s="8" t="s">
        <v>1390</v>
      </c>
      <c r="C124" s="8" t="s">
        <v>1390</v>
      </c>
      <c r="E124" s="8" t="s">
        <v>1390</v>
      </c>
      <c r="G124" s="8" t="s">
        <v>1390</v>
      </c>
      <c r="I124" s="8" t="s">
        <v>1390</v>
      </c>
    </row>
    <row r="125" spans="1:9" x14ac:dyDescent="0.3">
      <c r="A125" s="8" t="s">
        <v>2854</v>
      </c>
      <c r="C125" s="8" t="s">
        <v>1445</v>
      </c>
      <c r="E125" s="8" t="s">
        <v>3866</v>
      </c>
      <c r="G125" s="8" t="s">
        <v>4047</v>
      </c>
      <c r="I125" s="8" t="s">
        <v>2854</v>
      </c>
    </row>
    <row r="126" spans="1:9" x14ac:dyDescent="0.3">
      <c r="A126" s="8" t="s">
        <v>2855</v>
      </c>
      <c r="C126" s="8" t="s">
        <v>1446</v>
      </c>
      <c r="E126" s="8" t="s">
        <v>3867</v>
      </c>
      <c r="G126" s="8" t="s">
        <v>4048</v>
      </c>
      <c r="I126" s="8" t="s">
        <v>2855</v>
      </c>
    </row>
    <row r="127" spans="1:9" x14ac:dyDescent="0.3">
      <c r="A127" s="8" t="s">
        <v>2856</v>
      </c>
      <c r="C127" s="8" t="s">
        <v>1447</v>
      </c>
      <c r="E127" s="8" t="s">
        <v>3868</v>
      </c>
      <c r="G127" s="8" t="s">
        <v>3085</v>
      </c>
      <c r="I127" s="8" t="s">
        <v>2856</v>
      </c>
    </row>
    <row r="128" spans="1:9" x14ac:dyDescent="0.3">
      <c r="A128" s="8" t="s">
        <v>20</v>
      </c>
      <c r="C128" s="8" t="s">
        <v>20</v>
      </c>
      <c r="E128" s="8" t="s">
        <v>20</v>
      </c>
      <c r="G128" s="8" t="s">
        <v>20</v>
      </c>
      <c r="I128" s="8" t="s">
        <v>20</v>
      </c>
    </row>
    <row r="129" spans="1:9" x14ac:dyDescent="0.3">
      <c r="A129" s="8" t="s">
        <v>21</v>
      </c>
      <c r="C129" s="8" t="s">
        <v>21</v>
      </c>
      <c r="E129" s="8" t="s">
        <v>21</v>
      </c>
      <c r="G129" s="8" t="s">
        <v>21</v>
      </c>
      <c r="I129" s="8" t="s">
        <v>21</v>
      </c>
    </row>
    <row r="130" spans="1:9" x14ac:dyDescent="0.3">
      <c r="A130" s="8" t="s">
        <v>34</v>
      </c>
      <c r="C130" s="8" t="s">
        <v>34</v>
      </c>
      <c r="E130" s="8" t="s">
        <v>34</v>
      </c>
      <c r="G130" s="8" t="s">
        <v>34</v>
      </c>
      <c r="I130" s="8" t="s">
        <v>34</v>
      </c>
    </row>
    <row r="131" spans="1:9" x14ac:dyDescent="0.3">
      <c r="A131" s="8" t="s">
        <v>1386</v>
      </c>
      <c r="C131" s="8" t="s">
        <v>1386</v>
      </c>
      <c r="E131" s="8" t="s">
        <v>1386</v>
      </c>
      <c r="G131" s="8" t="s">
        <v>1386</v>
      </c>
      <c r="I131" s="8" t="s">
        <v>1386</v>
      </c>
    </row>
    <row r="132" spans="1:9" x14ac:dyDescent="0.3">
      <c r="A132" s="8" t="s">
        <v>2857</v>
      </c>
      <c r="C132" s="8" t="s">
        <v>1448</v>
      </c>
      <c r="E132" s="8" t="s">
        <v>3869</v>
      </c>
      <c r="G132" s="8" t="s">
        <v>4049</v>
      </c>
      <c r="I132" s="8" t="s">
        <v>2857</v>
      </c>
    </row>
    <row r="133" spans="1:9" x14ac:dyDescent="0.3">
      <c r="A133" s="8" t="s">
        <v>2858</v>
      </c>
      <c r="C133" s="8" t="s">
        <v>1449</v>
      </c>
      <c r="E133" s="8" t="s">
        <v>3870</v>
      </c>
      <c r="G133" s="8" t="s">
        <v>4050</v>
      </c>
      <c r="I133" s="8" t="s">
        <v>2858</v>
      </c>
    </row>
    <row r="134" spans="1:9" x14ac:dyDescent="0.3">
      <c r="A134" s="8" t="s">
        <v>2859</v>
      </c>
      <c r="C134" s="8" t="s">
        <v>1450</v>
      </c>
      <c r="E134" s="8" t="s">
        <v>3871</v>
      </c>
      <c r="G134" s="8" t="s">
        <v>4051</v>
      </c>
      <c r="I134" s="8" t="s">
        <v>2859</v>
      </c>
    </row>
    <row r="135" spans="1:9" x14ac:dyDescent="0.3">
      <c r="A135" s="8" t="s">
        <v>2860</v>
      </c>
      <c r="C135" s="8" t="s">
        <v>1451</v>
      </c>
      <c r="E135" s="8" t="s">
        <v>3872</v>
      </c>
      <c r="G135" s="8" t="s">
        <v>4052</v>
      </c>
      <c r="I135" s="8" t="s">
        <v>2860</v>
      </c>
    </row>
    <row r="136" spans="1:9" x14ac:dyDescent="0.3">
      <c r="A136" s="8" t="s">
        <v>2861</v>
      </c>
      <c r="C136" s="8" t="s">
        <v>1452</v>
      </c>
      <c r="E136" s="8" t="s">
        <v>3873</v>
      </c>
      <c r="G136" s="8" t="s">
        <v>4053</v>
      </c>
      <c r="I136" s="8" t="s">
        <v>2861</v>
      </c>
    </row>
    <row r="137" spans="1:9" x14ac:dyDescent="0.3">
      <c r="A137" s="8" t="s">
        <v>19</v>
      </c>
      <c r="C137" s="8" t="s">
        <v>19</v>
      </c>
      <c r="E137" s="8" t="s">
        <v>19</v>
      </c>
      <c r="G137" s="8" t="s">
        <v>19</v>
      </c>
      <c r="I137" s="8" t="s">
        <v>19</v>
      </c>
    </row>
    <row r="138" spans="1:9" x14ac:dyDescent="0.3">
      <c r="A138" s="8" t="s">
        <v>1390</v>
      </c>
      <c r="C138" s="8" t="s">
        <v>1390</v>
      </c>
      <c r="E138" s="8" t="s">
        <v>1390</v>
      </c>
      <c r="G138" s="8" t="s">
        <v>1390</v>
      </c>
      <c r="I138" s="8" t="s">
        <v>1390</v>
      </c>
    </row>
    <row r="139" spans="1:9" x14ac:dyDescent="0.3">
      <c r="A139" s="8" t="s">
        <v>2862</v>
      </c>
      <c r="C139" s="8" t="s">
        <v>1453</v>
      </c>
      <c r="E139" s="8" t="s">
        <v>3874</v>
      </c>
      <c r="G139" s="8" t="s">
        <v>4054</v>
      </c>
      <c r="I139" s="8" t="s">
        <v>2862</v>
      </c>
    </row>
    <row r="140" spans="1:9" x14ac:dyDescent="0.3">
      <c r="A140" s="8" t="s">
        <v>2863</v>
      </c>
      <c r="C140" s="8" t="s">
        <v>1454</v>
      </c>
      <c r="E140" s="8" t="s">
        <v>3875</v>
      </c>
      <c r="G140" s="8" t="s">
        <v>4055</v>
      </c>
      <c r="I140" s="8" t="s">
        <v>2863</v>
      </c>
    </row>
    <row r="141" spans="1:9" x14ac:dyDescent="0.3">
      <c r="A141" s="8" t="s">
        <v>2864</v>
      </c>
      <c r="C141" s="8" t="s">
        <v>1455</v>
      </c>
      <c r="E141" s="8" t="s">
        <v>3876</v>
      </c>
      <c r="G141" s="8" t="s">
        <v>4056</v>
      </c>
      <c r="I141" s="8" t="s">
        <v>2864</v>
      </c>
    </row>
    <row r="142" spans="1:9" x14ac:dyDescent="0.3">
      <c r="A142" s="8" t="s">
        <v>2865</v>
      </c>
      <c r="C142" s="8" t="s">
        <v>1456</v>
      </c>
      <c r="E142" s="8" t="s">
        <v>3877</v>
      </c>
      <c r="G142" s="8" t="s">
        <v>4057</v>
      </c>
      <c r="I142" s="8" t="s">
        <v>2865</v>
      </c>
    </row>
    <row r="143" spans="1:9" x14ac:dyDescent="0.3">
      <c r="A143" s="8" t="s">
        <v>2866</v>
      </c>
      <c r="C143" s="8" t="s">
        <v>1457</v>
      </c>
      <c r="E143" s="8" t="s">
        <v>3878</v>
      </c>
      <c r="G143" s="8" t="s">
        <v>4058</v>
      </c>
      <c r="I143" s="8" t="s">
        <v>2866</v>
      </c>
    </row>
    <row r="144" spans="1:9" x14ac:dyDescent="0.3">
      <c r="A144" s="8" t="s">
        <v>20</v>
      </c>
      <c r="C144" s="8" t="s">
        <v>20</v>
      </c>
      <c r="E144" s="8" t="s">
        <v>20</v>
      </c>
      <c r="G144" s="8" t="s">
        <v>20</v>
      </c>
      <c r="I144" s="8" t="s">
        <v>20</v>
      </c>
    </row>
    <row r="145" spans="1:9" x14ac:dyDescent="0.3">
      <c r="A145" s="8" t="s">
        <v>21</v>
      </c>
      <c r="C145" s="8" t="s">
        <v>21</v>
      </c>
      <c r="E145" s="8" t="s">
        <v>21</v>
      </c>
      <c r="G145" s="8" t="s">
        <v>21</v>
      </c>
      <c r="I145" s="8" t="s">
        <v>21</v>
      </c>
    </row>
    <row r="146" spans="1:9" x14ac:dyDescent="0.3">
      <c r="A146" s="8" t="s">
        <v>43</v>
      </c>
      <c r="C146" s="8" t="s">
        <v>43</v>
      </c>
      <c r="E146" s="8" t="s">
        <v>43</v>
      </c>
      <c r="G146" s="8" t="s">
        <v>43</v>
      </c>
      <c r="I146" s="8" t="s">
        <v>43</v>
      </c>
    </row>
    <row r="147" spans="1:9" x14ac:dyDescent="0.3">
      <c r="A147" s="8" t="s">
        <v>1386</v>
      </c>
      <c r="C147" s="8" t="s">
        <v>1386</v>
      </c>
      <c r="E147" s="8" t="s">
        <v>1386</v>
      </c>
      <c r="G147" s="8" t="s">
        <v>1386</v>
      </c>
      <c r="I147" s="8" t="s">
        <v>1386</v>
      </c>
    </row>
    <row r="148" spans="1:9" x14ac:dyDescent="0.3">
      <c r="A148" s="8" t="s">
        <v>2867</v>
      </c>
      <c r="C148" s="8" t="s">
        <v>1458</v>
      </c>
      <c r="E148" s="8" t="s">
        <v>3879</v>
      </c>
      <c r="G148" s="8" t="s">
        <v>4059</v>
      </c>
      <c r="I148" s="8" t="s">
        <v>2867</v>
      </c>
    </row>
    <row r="149" spans="1:9" x14ac:dyDescent="0.3">
      <c r="A149" s="8" t="s">
        <v>19</v>
      </c>
      <c r="C149" s="8" t="s">
        <v>19</v>
      </c>
      <c r="E149" s="8" t="s">
        <v>19</v>
      </c>
      <c r="G149" s="8" t="s">
        <v>19</v>
      </c>
      <c r="I149" s="8" t="s">
        <v>19</v>
      </c>
    </row>
    <row r="150" spans="1:9" x14ac:dyDescent="0.3">
      <c r="A150" s="8" t="s">
        <v>1390</v>
      </c>
      <c r="C150" s="8" t="s">
        <v>1390</v>
      </c>
      <c r="E150" s="8" t="s">
        <v>1390</v>
      </c>
      <c r="G150" s="8" t="s">
        <v>1390</v>
      </c>
      <c r="I150" s="8" t="s">
        <v>1390</v>
      </c>
    </row>
    <row r="151" spans="1:9" x14ac:dyDescent="0.3">
      <c r="A151" s="8" t="s">
        <v>2868</v>
      </c>
      <c r="C151" s="8" t="s">
        <v>1459</v>
      </c>
      <c r="E151" s="8" t="s">
        <v>3880</v>
      </c>
      <c r="G151" s="8" t="s">
        <v>4060</v>
      </c>
      <c r="I151" s="8" t="s">
        <v>2868</v>
      </c>
    </row>
    <row r="152" spans="1:9" x14ac:dyDescent="0.3">
      <c r="A152" s="8" t="s">
        <v>20</v>
      </c>
      <c r="C152" s="8" t="s">
        <v>20</v>
      </c>
      <c r="E152" s="8" t="s">
        <v>20</v>
      </c>
      <c r="G152" s="8" t="s">
        <v>20</v>
      </c>
      <c r="I152" s="8" t="s">
        <v>20</v>
      </c>
    </row>
    <row r="153" spans="1:9" x14ac:dyDescent="0.3">
      <c r="A153" s="8" t="s">
        <v>22</v>
      </c>
      <c r="C153" s="8" t="s">
        <v>22</v>
      </c>
      <c r="E153" s="8" t="s">
        <v>22</v>
      </c>
      <c r="G153" s="8" t="s">
        <v>22</v>
      </c>
      <c r="I153" s="8" t="s">
        <v>22</v>
      </c>
    </row>
    <row r="154" spans="1:9" x14ac:dyDescent="0.3">
      <c r="A154" s="8" t="s">
        <v>24</v>
      </c>
      <c r="C154" s="8" t="s">
        <v>24</v>
      </c>
      <c r="E154" s="8" t="s">
        <v>24</v>
      </c>
      <c r="G154" s="8" t="s">
        <v>24</v>
      </c>
      <c r="I154" s="8" t="s">
        <v>24</v>
      </c>
    </row>
    <row r="155" spans="1:9" x14ac:dyDescent="0.3">
      <c r="A155" s="8" t="s">
        <v>25</v>
      </c>
      <c r="C155" s="8" t="s">
        <v>25</v>
      </c>
      <c r="E155" s="8" t="s">
        <v>25</v>
      </c>
      <c r="G155" s="8" t="s">
        <v>25</v>
      </c>
      <c r="I155" s="8" t="s">
        <v>25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35"/>
  <sheetViews>
    <sheetView topLeftCell="F1" workbookViewId="0">
      <pane ySplit="1" topLeftCell="A2587" activePane="bottomLeft" state="frozen"/>
      <selection pane="bottomLeft" activeCell="G2599" sqref="G2599"/>
    </sheetView>
  </sheetViews>
  <sheetFormatPr defaultRowHeight="14.4" x14ac:dyDescent="0.3"/>
  <cols>
    <col min="1" max="1" width="101.88671875" bestFit="1" customWidth="1"/>
    <col min="2" max="2" width="8.44140625" style="5" bestFit="1" customWidth="1"/>
    <col min="3" max="3" width="101.88671875" bestFit="1" customWidth="1"/>
    <col min="4" max="4" width="8.44140625" style="5" bestFit="1" customWidth="1"/>
    <col min="5" max="5" width="165.33203125" bestFit="1" customWidth="1"/>
    <col min="6" max="6" width="8.44140625" style="5" bestFit="1" customWidth="1"/>
    <col min="7" max="7" width="122.88671875" bestFit="1" customWidth="1"/>
    <col min="8" max="8" width="8.44140625" style="5" bestFit="1" customWidth="1"/>
    <col min="9" max="9" width="104.5546875" bestFit="1" customWidth="1"/>
  </cols>
  <sheetData>
    <row r="1" spans="1:9" x14ac:dyDescent="0.3">
      <c r="A1" s="6" t="s">
        <v>1460</v>
      </c>
      <c r="B1" s="4"/>
      <c r="C1" s="6" t="s">
        <v>61</v>
      </c>
      <c r="D1" s="4"/>
      <c r="E1" s="13" t="s">
        <v>2958</v>
      </c>
      <c r="F1" s="4"/>
      <c r="G1" s="13" t="s">
        <v>3357</v>
      </c>
      <c r="H1" s="4"/>
      <c r="I1" s="13" t="s">
        <v>3355</v>
      </c>
    </row>
    <row r="2" spans="1:9" ht="331.2" x14ac:dyDescent="0.3">
      <c r="A2" s="9" t="s">
        <v>1466</v>
      </c>
      <c r="C2" s="9" t="s">
        <v>3406</v>
      </c>
      <c r="E2" s="21" t="s">
        <v>3406</v>
      </c>
      <c r="G2" s="21" t="s">
        <v>3406</v>
      </c>
      <c r="I2" s="9" t="s">
        <v>3139</v>
      </c>
    </row>
    <row r="3" spans="1:9" x14ac:dyDescent="0.3">
      <c r="A3" s="7"/>
      <c r="C3" t="s">
        <v>62</v>
      </c>
      <c r="E3" s="2" t="s">
        <v>62</v>
      </c>
      <c r="G3" s="2" t="s">
        <v>62</v>
      </c>
    </row>
    <row r="4" spans="1:9" x14ac:dyDescent="0.3">
      <c r="C4" t="s">
        <v>63</v>
      </c>
      <c r="E4" s="2" t="s">
        <v>63</v>
      </c>
      <c r="G4" s="2" t="s">
        <v>63</v>
      </c>
    </row>
    <row r="5" spans="1:9" x14ac:dyDescent="0.3">
      <c r="A5" t="s">
        <v>111</v>
      </c>
      <c r="C5" t="s">
        <v>64</v>
      </c>
      <c r="E5" s="11" t="s">
        <v>2959</v>
      </c>
      <c r="G5" s="11" t="s">
        <v>64</v>
      </c>
      <c r="I5" t="s">
        <v>111</v>
      </c>
    </row>
    <row r="6" spans="1:9" x14ac:dyDescent="0.3">
      <c r="A6" t="s">
        <v>1467</v>
      </c>
      <c r="C6" t="s">
        <v>65</v>
      </c>
      <c r="E6" s="2" t="s">
        <v>66</v>
      </c>
      <c r="G6" s="2" t="s">
        <v>65</v>
      </c>
      <c r="I6" t="s">
        <v>1467</v>
      </c>
    </row>
    <row r="7" spans="1:9" x14ac:dyDescent="0.3">
      <c r="C7" t="s">
        <v>66</v>
      </c>
      <c r="E7" s="2" t="s">
        <v>67</v>
      </c>
      <c r="G7" s="11" t="s">
        <v>66</v>
      </c>
    </row>
    <row r="8" spans="1:9" x14ac:dyDescent="0.3">
      <c r="A8" t="s">
        <v>62</v>
      </c>
      <c r="C8" t="s">
        <v>67</v>
      </c>
      <c r="E8" s="2" t="s">
        <v>68</v>
      </c>
      <c r="G8" s="2" t="s">
        <v>67</v>
      </c>
      <c r="I8" t="s">
        <v>3140</v>
      </c>
    </row>
    <row r="9" spans="1:9" x14ac:dyDescent="0.3">
      <c r="A9" t="s">
        <v>63</v>
      </c>
      <c r="C9" t="s">
        <v>68</v>
      </c>
      <c r="E9" s="2" t="s">
        <v>69</v>
      </c>
      <c r="G9" s="2" t="s">
        <v>68</v>
      </c>
    </row>
    <row r="10" spans="1:9" x14ac:dyDescent="0.3">
      <c r="A10" t="s">
        <v>1468</v>
      </c>
      <c r="C10" t="s">
        <v>69</v>
      </c>
      <c r="E10" s="2" t="e">
        <f>- la p redisposizione e  l ’erogazione d i o gni o pportuno</f>
        <v>#NAME?</v>
      </c>
      <c r="G10" s="2" t="s">
        <v>69</v>
      </c>
      <c r="I10" t="s">
        <v>62</v>
      </c>
    </row>
    <row r="11" spans="1:9" x14ac:dyDescent="0.3">
      <c r="C11" t="e">
        <f>- la p redisposizione e  l ’erogazione d i o gni o pportuno</f>
        <v>#NAME?</v>
      </c>
      <c r="E11" s="2" t="s">
        <v>70</v>
      </c>
      <c r="G11" s="2" t="e">
        <f>- la p redisposizione e  l ’erogazione d i o gni o pportuno</f>
        <v>#NAME?</v>
      </c>
      <c r="I11" t="s">
        <v>63</v>
      </c>
    </row>
    <row r="12" spans="1:9" x14ac:dyDescent="0.3">
      <c r="C12" t="s">
        <v>70</v>
      </c>
      <c r="E12" s="2" t="s">
        <v>71</v>
      </c>
      <c r="G12" s="2" t="s">
        <v>70</v>
      </c>
      <c r="I12" t="s">
        <v>1468</v>
      </c>
    </row>
    <row r="13" spans="1:9" x14ac:dyDescent="0.3">
      <c r="A13" t="s">
        <v>132</v>
      </c>
      <c r="C13" t="s">
        <v>71</v>
      </c>
      <c r="E13" s="2" t="s">
        <v>72</v>
      </c>
      <c r="G13" s="2" t="s">
        <v>71</v>
      </c>
    </row>
    <row r="14" spans="1:9" x14ac:dyDescent="0.3">
      <c r="A14" t="s">
        <v>1467</v>
      </c>
      <c r="C14" t="s">
        <v>72</v>
      </c>
      <c r="E14" s="2" t="s">
        <v>73</v>
      </c>
      <c r="G14" s="2" t="s">
        <v>72</v>
      </c>
    </row>
    <row r="15" spans="1:9" x14ac:dyDescent="0.3">
      <c r="C15" t="s">
        <v>73</v>
      </c>
      <c r="E15" s="2" t="s">
        <v>74</v>
      </c>
      <c r="G15" s="2" t="s">
        <v>73</v>
      </c>
      <c r="I15" t="s">
        <v>132</v>
      </c>
    </row>
    <row r="16" spans="1:9" x14ac:dyDescent="0.3">
      <c r="A16" t="s">
        <v>65</v>
      </c>
      <c r="C16" t="s">
        <v>74</v>
      </c>
      <c r="E16" s="2" t="s">
        <v>75</v>
      </c>
      <c r="G16" s="2" t="s">
        <v>74</v>
      </c>
      <c r="I16" t="s">
        <v>1467</v>
      </c>
    </row>
    <row r="17" spans="1:9" x14ac:dyDescent="0.3">
      <c r="A17" t="s">
        <v>66</v>
      </c>
      <c r="C17" t="s">
        <v>75</v>
      </c>
      <c r="E17" s="2" t="s">
        <v>76</v>
      </c>
      <c r="G17" s="2" t="s">
        <v>75</v>
      </c>
    </row>
    <row r="18" spans="1:9" x14ac:dyDescent="0.3">
      <c r="A18" t="s">
        <v>67</v>
      </c>
      <c r="C18" t="s">
        <v>76</v>
      </c>
      <c r="E18" s="2" t="s">
        <v>77</v>
      </c>
      <c r="G18" s="2" t="s">
        <v>76</v>
      </c>
      <c r="I18" t="s">
        <v>3141</v>
      </c>
    </row>
    <row r="19" spans="1:9" x14ac:dyDescent="0.3">
      <c r="A19" t="s">
        <v>68</v>
      </c>
      <c r="C19" t="s">
        <v>77</v>
      </c>
      <c r="E19" s="2" t="s">
        <v>78</v>
      </c>
      <c r="G19" s="2" t="s">
        <v>77</v>
      </c>
    </row>
    <row r="20" spans="1:9" x14ac:dyDescent="0.3">
      <c r="A20" t="s">
        <v>69</v>
      </c>
      <c r="C20" t="s">
        <v>78</v>
      </c>
      <c r="E20" s="2" t="s">
        <v>79</v>
      </c>
      <c r="G20" s="2" t="s">
        <v>78</v>
      </c>
      <c r="I20" t="s">
        <v>65</v>
      </c>
    </row>
    <row r="21" spans="1:9" x14ac:dyDescent="0.3">
      <c r="A21" t="e">
        <f>- la p redisposizione e  l ’erogazione d i o gni o pportuno</f>
        <v>#NAME?</v>
      </c>
      <c r="C21" t="s">
        <v>79</v>
      </c>
      <c r="E21" s="2" t="s">
        <v>80</v>
      </c>
      <c r="G21" s="2" t="s">
        <v>79</v>
      </c>
      <c r="I21" t="s">
        <v>66</v>
      </c>
    </row>
    <row r="22" spans="1:9" x14ac:dyDescent="0.3">
      <c r="A22" t="s">
        <v>70</v>
      </c>
      <c r="C22" t="s">
        <v>80</v>
      </c>
      <c r="E22" s="2" t="s">
        <v>81</v>
      </c>
      <c r="G22" s="2" t="s">
        <v>80</v>
      </c>
      <c r="I22" t="s">
        <v>67</v>
      </c>
    </row>
    <row r="23" spans="1:9" x14ac:dyDescent="0.3">
      <c r="A23" t="s">
        <v>71</v>
      </c>
      <c r="C23" t="s">
        <v>81</v>
      </c>
      <c r="E23" s="2" t="s">
        <v>82</v>
      </c>
      <c r="G23" s="2" t="s">
        <v>81</v>
      </c>
      <c r="I23" t="s">
        <v>68</v>
      </c>
    </row>
    <row r="24" spans="1:9" x14ac:dyDescent="0.3">
      <c r="A24" t="s">
        <v>72</v>
      </c>
      <c r="C24" t="s">
        <v>82</v>
      </c>
      <c r="E24" s="2" t="s">
        <v>83</v>
      </c>
      <c r="G24" s="2" t="s">
        <v>82</v>
      </c>
      <c r="I24" t="s">
        <v>69</v>
      </c>
    </row>
    <row r="25" spans="1:9" x14ac:dyDescent="0.3">
      <c r="A25" t="s">
        <v>73</v>
      </c>
      <c r="C25" t="s">
        <v>83</v>
      </c>
      <c r="E25" s="2" t="s">
        <v>84</v>
      </c>
      <c r="G25" s="2" t="s">
        <v>83</v>
      </c>
      <c r="I25" t="e">
        <f>- la p redisposizione e  l ’erogazione d i o gni o pportuno</f>
        <v>#NAME?</v>
      </c>
    </row>
    <row r="26" spans="1:9" x14ac:dyDescent="0.3">
      <c r="A26" t="s">
        <v>74</v>
      </c>
      <c r="C26" t="s">
        <v>84</v>
      </c>
      <c r="E26" s="2" t="s">
        <v>85</v>
      </c>
      <c r="G26" s="2" t="s">
        <v>84</v>
      </c>
      <c r="I26" t="s">
        <v>70</v>
      </c>
    </row>
    <row r="27" spans="1:9" x14ac:dyDescent="0.3">
      <c r="A27" t="s">
        <v>75</v>
      </c>
      <c r="C27" t="s">
        <v>85</v>
      </c>
      <c r="E27" s="2" t="s">
        <v>86</v>
      </c>
      <c r="G27" s="2" t="s">
        <v>85</v>
      </c>
      <c r="I27" t="s">
        <v>71</v>
      </c>
    </row>
    <row r="28" spans="1:9" x14ac:dyDescent="0.3">
      <c r="A28" t="s">
        <v>76</v>
      </c>
      <c r="C28" t="s">
        <v>86</v>
      </c>
      <c r="E28" s="2" t="s">
        <v>87</v>
      </c>
      <c r="G28" s="2" t="s">
        <v>86</v>
      </c>
      <c r="I28" t="s">
        <v>72</v>
      </c>
    </row>
    <row r="29" spans="1:9" x14ac:dyDescent="0.3">
      <c r="A29" t="s">
        <v>77</v>
      </c>
      <c r="C29" t="s">
        <v>87</v>
      </c>
      <c r="E29" s="2" t="s">
        <v>88</v>
      </c>
      <c r="G29" s="2" t="s">
        <v>87</v>
      </c>
      <c r="I29" t="s">
        <v>73</v>
      </c>
    </row>
    <row r="30" spans="1:9" x14ac:dyDescent="0.3">
      <c r="A30" t="s">
        <v>78</v>
      </c>
      <c r="C30" t="s">
        <v>88</v>
      </c>
      <c r="E30" s="2" t="s">
        <v>89</v>
      </c>
      <c r="G30" s="2" t="s">
        <v>88</v>
      </c>
      <c r="I30" t="s">
        <v>74</v>
      </c>
    </row>
    <row r="31" spans="1:9" x14ac:dyDescent="0.3">
      <c r="A31" t="s">
        <v>79</v>
      </c>
      <c r="C31" t="s">
        <v>89</v>
      </c>
      <c r="E31" s="2" t="s">
        <v>90</v>
      </c>
      <c r="G31" s="2" t="s">
        <v>89</v>
      </c>
      <c r="I31" t="s">
        <v>75</v>
      </c>
    </row>
    <row r="32" spans="1:9" x14ac:dyDescent="0.3">
      <c r="A32" t="s">
        <v>80</v>
      </c>
      <c r="C32" t="s">
        <v>90</v>
      </c>
      <c r="E32" s="2"/>
      <c r="G32" s="2" t="s">
        <v>92</v>
      </c>
      <c r="I32" t="s">
        <v>76</v>
      </c>
    </row>
    <row r="33" spans="1:9" x14ac:dyDescent="0.3">
      <c r="A33" t="s">
        <v>81</v>
      </c>
      <c r="E33" s="2"/>
      <c r="G33" s="2" t="s">
        <v>93</v>
      </c>
      <c r="I33" t="s">
        <v>77</v>
      </c>
    </row>
    <row r="34" spans="1:9" x14ac:dyDescent="0.3">
      <c r="A34" t="s">
        <v>82</v>
      </c>
      <c r="E34" s="2" t="s">
        <v>91</v>
      </c>
      <c r="G34" s="2" t="s">
        <v>94</v>
      </c>
      <c r="I34" t="s">
        <v>78</v>
      </c>
    </row>
    <row r="35" spans="1:9" x14ac:dyDescent="0.3">
      <c r="A35" t="s">
        <v>83</v>
      </c>
      <c r="C35" t="s">
        <v>91</v>
      </c>
      <c r="E35" s="2" t="s">
        <v>1467</v>
      </c>
      <c r="G35" s="2" t="s">
        <v>95</v>
      </c>
      <c r="I35" t="s">
        <v>79</v>
      </c>
    </row>
    <row r="36" spans="1:9" x14ac:dyDescent="0.3">
      <c r="A36" t="s">
        <v>84</v>
      </c>
      <c r="C36" t="s">
        <v>1467</v>
      </c>
      <c r="E36" s="2"/>
      <c r="G36" s="2" t="s">
        <v>96</v>
      </c>
      <c r="I36" t="s">
        <v>80</v>
      </c>
    </row>
    <row r="37" spans="1:9" x14ac:dyDescent="0.3">
      <c r="A37" t="s">
        <v>85</v>
      </c>
      <c r="E37" s="11" t="s">
        <v>3407</v>
      </c>
      <c r="G37" s="2" t="s">
        <v>97</v>
      </c>
      <c r="I37" t="s">
        <v>81</v>
      </c>
    </row>
    <row r="38" spans="1:9" x14ac:dyDescent="0.3">
      <c r="A38" t="s">
        <v>86</v>
      </c>
      <c r="C38" t="s">
        <v>3407</v>
      </c>
      <c r="E38" s="11"/>
      <c r="G38" s="2" t="s">
        <v>98</v>
      </c>
      <c r="I38" t="s">
        <v>82</v>
      </c>
    </row>
    <row r="39" spans="1:9" x14ac:dyDescent="0.3">
      <c r="A39" t="s">
        <v>87</v>
      </c>
      <c r="E39" s="2" t="s">
        <v>82</v>
      </c>
      <c r="G39" s="2" t="s">
        <v>99</v>
      </c>
      <c r="I39" t="s">
        <v>83</v>
      </c>
    </row>
    <row r="40" spans="1:9" x14ac:dyDescent="0.3">
      <c r="A40" t="s">
        <v>88</v>
      </c>
      <c r="C40" t="s">
        <v>82</v>
      </c>
      <c r="E40" s="2" t="s">
        <v>83</v>
      </c>
      <c r="G40" s="2" t="s">
        <v>100</v>
      </c>
      <c r="I40" t="s">
        <v>84</v>
      </c>
    </row>
    <row r="41" spans="1:9" x14ac:dyDescent="0.3">
      <c r="A41" t="s">
        <v>89</v>
      </c>
      <c r="C41" t="s">
        <v>83</v>
      </c>
      <c r="E41" s="11" t="s">
        <v>84</v>
      </c>
      <c r="G41" s="2" t="s">
        <v>101</v>
      </c>
      <c r="I41" t="s">
        <v>85</v>
      </c>
    </row>
    <row r="42" spans="1:9" x14ac:dyDescent="0.3">
      <c r="A42" t="s">
        <v>92</v>
      </c>
      <c r="C42" t="s">
        <v>84</v>
      </c>
      <c r="E42" s="2" t="s">
        <v>85</v>
      </c>
      <c r="G42" s="2" t="s">
        <v>3954</v>
      </c>
      <c r="I42" t="s">
        <v>86</v>
      </c>
    </row>
    <row r="43" spans="1:9" x14ac:dyDescent="0.3">
      <c r="A43" t="s">
        <v>93</v>
      </c>
      <c r="C43" t="s">
        <v>85</v>
      </c>
      <c r="E43" s="2" t="s">
        <v>86</v>
      </c>
      <c r="G43" s="2"/>
      <c r="I43" t="s">
        <v>87</v>
      </c>
    </row>
    <row r="44" spans="1:9" x14ac:dyDescent="0.3">
      <c r="A44" t="s">
        <v>94</v>
      </c>
      <c r="C44" t="s">
        <v>86</v>
      </c>
      <c r="E44" s="2" t="s">
        <v>87</v>
      </c>
      <c r="G44" s="2"/>
      <c r="I44" t="s">
        <v>88</v>
      </c>
    </row>
    <row r="45" spans="1:9" x14ac:dyDescent="0.3">
      <c r="A45" t="s">
        <v>95</v>
      </c>
      <c r="C45" t="s">
        <v>87</v>
      </c>
      <c r="E45" s="2" t="s">
        <v>88</v>
      </c>
      <c r="G45" s="2" t="s">
        <v>91</v>
      </c>
      <c r="I45" t="s">
        <v>89</v>
      </c>
    </row>
    <row r="46" spans="1:9" x14ac:dyDescent="0.3">
      <c r="A46" t="s">
        <v>96</v>
      </c>
      <c r="C46" t="s">
        <v>88</v>
      </c>
      <c r="E46" s="2" t="s">
        <v>89</v>
      </c>
      <c r="G46" s="2" t="s">
        <v>1467</v>
      </c>
      <c r="I46" t="s">
        <v>92</v>
      </c>
    </row>
    <row r="47" spans="1:9" x14ac:dyDescent="0.3">
      <c r="A47" t="s">
        <v>1469</v>
      </c>
      <c r="C47" t="s">
        <v>89</v>
      </c>
      <c r="E47" s="2" t="s">
        <v>92</v>
      </c>
      <c r="G47" s="2"/>
      <c r="I47" t="s">
        <v>93</v>
      </c>
    </row>
    <row r="48" spans="1:9" x14ac:dyDescent="0.3">
      <c r="C48" t="s">
        <v>92</v>
      </c>
      <c r="E48" s="2" t="s">
        <v>93</v>
      </c>
      <c r="G48" s="2" t="s">
        <v>3407</v>
      </c>
      <c r="I48" t="s">
        <v>94</v>
      </c>
    </row>
    <row r="49" spans="1:9" x14ac:dyDescent="0.3">
      <c r="C49" t="s">
        <v>93</v>
      </c>
      <c r="E49" s="2" t="s">
        <v>94</v>
      </c>
      <c r="G49" s="2"/>
      <c r="I49" t="s">
        <v>95</v>
      </c>
    </row>
    <row r="50" spans="1:9" x14ac:dyDescent="0.3">
      <c r="A50" t="s">
        <v>152</v>
      </c>
      <c r="C50" t="s">
        <v>94</v>
      </c>
      <c r="E50" s="2" t="s">
        <v>95</v>
      </c>
      <c r="G50" s="11" t="s">
        <v>97</v>
      </c>
      <c r="I50" t="s">
        <v>96</v>
      </c>
    </row>
    <row r="51" spans="1:9" x14ac:dyDescent="0.3">
      <c r="A51" t="s">
        <v>1467</v>
      </c>
      <c r="C51" t="s">
        <v>95</v>
      </c>
      <c r="E51" s="2" t="s">
        <v>96</v>
      </c>
      <c r="G51" s="11" t="s">
        <v>98</v>
      </c>
      <c r="I51" t="s">
        <v>1469</v>
      </c>
    </row>
    <row r="52" spans="1:9" x14ac:dyDescent="0.3">
      <c r="C52" t="s">
        <v>96</v>
      </c>
      <c r="E52" s="2" t="s">
        <v>97</v>
      </c>
      <c r="G52" s="2" t="s">
        <v>99</v>
      </c>
    </row>
    <row r="53" spans="1:9" x14ac:dyDescent="0.3">
      <c r="A53" t="s">
        <v>88</v>
      </c>
      <c r="C53" t="s">
        <v>97</v>
      </c>
      <c r="E53" s="2" t="s">
        <v>98</v>
      </c>
      <c r="G53" s="2" t="s">
        <v>100</v>
      </c>
    </row>
    <row r="54" spans="1:9" x14ac:dyDescent="0.3">
      <c r="A54" t="s">
        <v>89</v>
      </c>
      <c r="C54" t="s">
        <v>98</v>
      </c>
      <c r="E54" s="2" t="s">
        <v>2960</v>
      </c>
      <c r="G54" s="11" t="s">
        <v>101</v>
      </c>
      <c r="I54" t="s">
        <v>152</v>
      </c>
    </row>
    <row r="55" spans="1:9" x14ac:dyDescent="0.3">
      <c r="A55" t="s">
        <v>92</v>
      </c>
      <c r="C55" t="s">
        <v>99</v>
      </c>
      <c r="E55" s="2"/>
      <c r="G55" s="2" t="s">
        <v>102</v>
      </c>
      <c r="I55" t="s">
        <v>1467</v>
      </c>
    </row>
    <row r="56" spans="1:9" x14ac:dyDescent="0.3">
      <c r="A56" t="s">
        <v>93</v>
      </c>
      <c r="C56" t="s">
        <v>100</v>
      </c>
      <c r="E56" s="2"/>
      <c r="G56" s="11" t="s">
        <v>103</v>
      </c>
    </row>
    <row r="57" spans="1:9" x14ac:dyDescent="0.3">
      <c r="A57" t="s">
        <v>94</v>
      </c>
      <c r="C57" t="s">
        <v>101</v>
      </c>
      <c r="E57" s="2" t="s">
        <v>111</v>
      </c>
      <c r="G57" s="2" t="s">
        <v>104</v>
      </c>
      <c r="I57" t="s">
        <v>3142</v>
      </c>
    </row>
    <row r="58" spans="1:9" x14ac:dyDescent="0.3">
      <c r="A58" t="s">
        <v>95</v>
      </c>
      <c r="C58" t="s">
        <v>102</v>
      </c>
      <c r="E58" s="11" t="s">
        <v>1467</v>
      </c>
      <c r="G58" s="2" t="s">
        <v>105</v>
      </c>
    </row>
    <row r="59" spans="1:9" x14ac:dyDescent="0.3">
      <c r="A59" t="s">
        <v>96</v>
      </c>
      <c r="C59" t="s">
        <v>103</v>
      </c>
      <c r="E59" s="11"/>
      <c r="G59" s="2" t="s">
        <v>106</v>
      </c>
      <c r="I59" t="s">
        <v>88</v>
      </c>
    </row>
    <row r="60" spans="1:9" x14ac:dyDescent="0.3">
      <c r="A60" t="s">
        <v>97</v>
      </c>
      <c r="C60" t="s">
        <v>104</v>
      </c>
      <c r="E60" s="2" t="s">
        <v>3140</v>
      </c>
      <c r="G60" s="2" t="s">
        <v>107</v>
      </c>
      <c r="I60" t="s">
        <v>89</v>
      </c>
    </row>
    <row r="61" spans="1:9" x14ac:dyDescent="0.3">
      <c r="A61" t="s">
        <v>98</v>
      </c>
      <c r="C61" t="s">
        <v>105</v>
      </c>
      <c r="E61" s="2"/>
      <c r="G61" s="2" t="s">
        <v>108</v>
      </c>
      <c r="I61" t="s">
        <v>92</v>
      </c>
    </row>
    <row r="62" spans="1:9" x14ac:dyDescent="0.3">
      <c r="A62" t="s">
        <v>99</v>
      </c>
      <c r="C62" t="s">
        <v>106</v>
      </c>
      <c r="E62" s="11" t="s">
        <v>100</v>
      </c>
      <c r="G62" s="2" t="s">
        <v>109</v>
      </c>
      <c r="I62" t="s">
        <v>93</v>
      </c>
    </row>
    <row r="63" spans="1:9" x14ac:dyDescent="0.3">
      <c r="A63" t="s">
        <v>100</v>
      </c>
      <c r="C63" t="s">
        <v>107</v>
      </c>
      <c r="E63" s="2" t="s">
        <v>101</v>
      </c>
      <c r="G63" s="2" t="s">
        <v>112</v>
      </c>
      <c r="I63" t="s">
        <v>94</v>
      </c>
    </row>
    <row r="64" spans="1:9" x14ac:dyDescent="0.3">
      <c r="A64" t="s">
        <v>101</v>
      </c>
      <c r="C64" t="s">
        <v>108</v>
      </c>
      <c r="E64" s="2" t="s">
        <v>102</v>
      </c>
      <c r="G64" s="2" t="s">
        <v>113</v>
      </c>
      <c r="I64" t="s">
        <v>95</v>
      </c>
    </row>
    <row r="65" spans="1:9" x14ac:dyDescent="0.3">
      <c r="A65" t="s">
        <v>102</v>
      </c>
      <c r="C65" t="s">
        <v>109</v>
      </c>
      <c r="E65" s="2" t="s">
        <v>103</v>
      </c>
      <c r="G65" s="2" t="s">
        <v>114</v>
      </c>
      <c r="I65" t="s">
        <v>96</v>
      </c>
    </row>
    <row r="66" spans="1:9" x14ac:dyDescent="0.3">
      <c r="A66" t="s">
        <v>103</v>
      </c>
      <c r="C66" t="s">
        <v>110</v>
      </c>
      <c r="E66" s="2" t="s">
        <v>104</v>
      </c>
      <c r="G66" s="2" t="s">
        <v>115</v>
      </c>
      <c r="I66" t="s">
        <v>97</v>
      </c>
    </row>
    <row r="67" spans="1:9" x14ac:dyDescent="0.3">
      <c r="A67" t="s">
        <v>104</v>
      </c>
      <c r="E67" s="2" t="s">
        <v>105</v>
      </c>
      <c r="G67" s="2" t="s">
        <v>116</v>
      </c>
      <c r="I67" t="s">
        <v>98</v>
      </c>
    </row>
    <row r="68" spans="1:9" x14ac:dyDescent="0.3">
      <c r="A68" t="s">
        <v>105</v>
      </c>
      <c r="E68" s="2" t="s">
        <v>2961</v>
      </c>
      <c r="G68" s="2" t="s">
        <v>117</v>
      </c>
      <c r="I68" t="s">
        <v>99</v>
      </c>
    </row>
    <row r="69" spans="1:9" x14ac:dyDescent="0.3">
      <c r="A69" t="s">
        <v>106</v>
      </c>
      <c r="C69" t="s">
        <v>111</v>
      </c>
      <c r="E69" s="2"/>
      <c r="G69" s="2" t="s">
        <v>118</v>
      </c>
      <c r="I69" t="s">
        <v>100</v>
      </c>
    </row>
    <row r="70" spans="1:9" x14ac:dyDescent="0.3">
      <c r="A70" t="s">
        <v>107</v>
      </c>
      <c r="C70" t="s">
        <v>1467</v>
      </c>
      <c r="E70" s="11"/>
      <c r="G70" s="2" t="s">
        <v>89</v>
      </c>
      <c r="I70" t="s">
        <v>101</v>
      </c>
    </row>
    <row r="71" spans="1:9" x14ac:dyDescent="0.3">
      <c r="A71" t="s">
        <v>108</v>
      </c>
      <c r="E71" s="11" t="s">
        <v>132</v>
      </c>
      <c r="G71" s="2" t="s">
        <v>119</v>
      </c>
      <c r="I71" t="s">
        <v>102</v>
      </c>
    </row>
    <row r="72" spans="1:9" x14ac:dyDescent="0.3">
      <c r="A72" t="s">
        <v>109</v>
      </c>
      <c r="C72" t="s">
        <v>3140</v>
      </c>
      <c r="E72" s="2" t="s">
        <v>1467</v>
      </c>
      <c r="G72" s="2" t="s">
        <v>120</v>
      </c>
      <c r="I72" t="s">
        <v>103</v>
      </c>
    </row>
    <row r="73" spans="1:9" x14ac:dyDescent="0.3">
      <c r="A73" t="s">
        <v>112</v>
      </c>
      <c r="E73" s="2"/>
      <c r="G73" s="2" t="s">
        <v>121</v>
      </c>
      <c r="I73" t="s">
        <v>104</v>
      </c>
    </row>
    <row r="74" spans="1:9" x14ac:dyDescent="0.3">
      <c r="A74" t="s">
        <v>113</v>
      </c>
      <c r="C74" t="s">
        <v>106</v>
      </c>
      <c r="E74" s="11" t="s">
        <v>3141</v>
      </c>
      <c r="G74" s="2" t="s">
        <v>122</v>
      </c>
      <c r="I74" t="s">
        <v>105</v>
      </c>
    </row>
    <row r="75" spans="1:9" x14ac:dyDescent="0.3">
      <c r="A75" t="s">
        <v>114</v>
      </c>
      <c r="C75" t="s">
        <v>107</v>
      </c>
      <c r="E75" s="2"/>
      <c r="G75" s="2" t="s">
        <v>123</v>
      </c>
      <c r="I75" t="s">
        <v>106</v>
      </c>
    </row>
    <row r="76" spans="1:9" x14ac:dyDescent="0.3">
      <c r="A76" t="s">
        <v>1470</v>
      </c>
      <c r="C76" t="s">
        <v>108</v>
      </c>
      <c r="E76" s="2" t="s">
        <v>107</v>
      </c>
      <c r="G76" s="2" t="s">
        <v>124</v>
      </c>
      <c r="I76" t="s">
        <v>107</v>
      </c>
    </row>
    <row r="77" spans="1:9" x14ac:dyDescent="0.3">
      <c r="C77" t="s">
        <v>109</v>
      </c>
      <c r="E77" s="2" t="s">
        <v>108</v>
      </c>
      <c r="G77" s="2" t="s">
        <v>125</v>
      </c>
      <c r="I77" t="s">
        <v>108</v>
      </c>
    </row>
    <row r="78" spans="1:9" x14ac:dyDescent="0.3">
      <c r="C78" t="s">
        <v>112</v>
      </c>
      <c r="E78" s="2" t="s">
        <v>109</v>
      </c>
      <c r="G78" s="2" t="s">
        <v>126</v>
      </c>
      <c r="I78" t="s">
        <v>109</v>
      </c>
    </row>
    <row r="79" spans="1:9" x14ac:dyDescent="0.3">
      <c r="A79" t="s">
        <v>173</v>
      </c>
      <c r="C79" t="s">
        <v>113</v>
      </c>
      <c r="E79" s="2" t="s">
        <v>112</v>
      </c>
      <c r="G79" s="2" t="s">
        <v>127</v>
      </c>
      <c r="I79" t="s">
        <v>112</v>
      </c>
    </row>
    <row r="80" spans="1:9" x14ac:dyDescent="0.3">
      <c r="A80" t="s">
        <v>1467</v>
      </c>
      <c r="C80" t="s">
        <v>114</v>
      </c>
      <c r="E80" s="2" t="s">
        <v>113</v>
      </c>
      <c r="G80" s="2" t="s">
        <v>128</v>
      </c>
      <c r="I80" t="s">
        <v>113</v>
      </c>
    </row>
    <row r="81" spans="1:9" x14ac:dyDescent="0.3">
      <c r="C81" t="s">
        <v>115</v>
      </c>
      <c r="E81" s="2" t="s">
        <v>114</v>
      </c>
      <c r="G81" s="2" t="s">
        <v>129</v>
      </c>
      <c r="I81" t="s">
        <v>114</v>
      </c>
    </row>
    <row r="82" spans="1:9" x14ac:dyDescent="0.3">
      <c r="A82" t="s">
        <v>112</v>
      </c>
      <c r="C82" t="s">
        <v>116</v>
      </c>
      <c r="E82" s="2" t="s">
        <v>115</v>
      </c>
      <c r="G82" s="2" t="s">
        <v>130</v>
      </c>
      <c r="I82" t="s">
        <v>1470</v>
      </c>
    </row>
    <row r="83" spans="1:9" x14ac:dyDescent="0.3">
      <c r="A83" t="s">
        <v>113</v>
      </c>
      <c r="C83" t="s">
        <v>117</v>
      </c>
      <c r="E83" s="2" t="s">
        <v>116</v>
      </c>
      <c r="G83" s="2" t="s">
        <v>133</v>
      </c>
    </row>
    <row r="84" spans="1:9" x14ac:dyDescent="0.3">
      <c r="A84" t="s">
        <v>114</v>
      </c>
      <c r="C84" t="s">
        <v>118</v>
      </c>
      <c r="E84" s="2" t="s">
        <v>117</v>
      </c>
      <c r="G84" s="2" t="s">
        <v>134</v>
      </c>
    </row>
    <row r="85" spans="1:9" x14ac:dyDescent="0.3">
      <c r="A85" t="s">
        <v>115</v>
      </c>
      <c r="C85" t="s">
        <v>89</v>
      </c>
      <c r="E85" s="2" t="s">
        <v>118</v>
      </c>
      <c r="G85" s="2" t="s">
        <v>3064</v>
      </c>
      <c r="I85" t="s">
        <v>173</v>
      </c>
    </row>
    <row r="86" spans="1:9" x14ac:dyDescent="0.3">
      <c r="A86" t="s">
        <v>116</v>
      </c>
      <c r="C86" t="s">
        <v>119</v>
      </c>
      <c r="E86" s="2" t="s">
        <v>89</v>
      </c>
      <c r="G86" s="2"/>
      <c r="I86" t="s">
        <v>1467</v>
      </c>
    </row>
    <row r="87" spans="1:9" x14ac:dyDescent="0.3">
      <c r="A87" t="s">
        <v>117</v>
      </c>
      <c r="C87" t="s">
        <v>120</v>
      </c>
      <c r="E87" s="2" t="s">
        <v>119</v>
      </c>
      <c r="G87" s="2"/>
    </row>
    <row r="88" spans="1:9" x14ac:dyDescent="0.3">
      <c r="A88" t="s">
        <v>118</v>
      </c>
      <c r="C88" t="s">
        <v>121</v>
      </c>
      <c r="E88" s="2" t="s">
        <v>120</v>
      </c>
      <c r="G88" s="2" t="s">
        <v>111</v>
      </c>
      <c r="I88" t="s">
        <v>3143</v>
      </c>
    </row>
    <row r="89" spans="1:9" x14ac:dyDescent="0.3">
      <c r="A89" t="s">
        <v>89</v>
      </c>
      <c r="C89" t="s">
        <v>122</v>
      </c>
      <c r="E89" s="2" t="s">
        <v>2962</v>
      </c>
      <c r="G89" s="2" t="s">
        <v>1467</v>
      </c>
    </row>
    <row r="90" spans="1:9" x14ac:dyDescent="0.3">
      <c r="A90" t="s">
        <v>119</v>
      </c>
      <c r="C90" t="s">
        <v>123</v>
      </c>
      <c r="E90" s="2" t="s">
        <v>123</v>
      </c>
      <c r="G90" s="2"/>
      <c r="I90" t="s">
        <v>112</v>
      </c>
    </row>
    <row r="91" spans="1:9" x14ac:dyDescent="0.3">
      <c r="A91" t="s">
        <v>120</v>
      </c>
      <c r="C91" t="s">
        <v>124</v>
      </c>
      <c r="E91" s="2" t="s">
        <v>124</v>
      </c>
      <c r="G91" s="2" t="s">
        <v>3140</v>
      </c>
      <c r="I91" t="s">
        <v>113</v>
      </c>
    </row>
    <row r="92" spans="1:9" x14ac:dyDescent="0.3">
      <c r="A92" t="s">
        <v>1471</v>
      </c>
      <c r="C92" t="s">
        <v>125</v>
      </c>
      <c r="E92" s="2" t="s">
        <v>2963</v>
      </c>
      <c r="G92" s="2"/>
      <c r="I92" t="s">
        <v>114</v>
      </c>
    </row>
    <row r="93" spans="1:9" x14ac:dyDescent="0.3">
      <c r="C93" t="s">
        <v>126</v>
      </c>
      <c r="E93" s="2" t="s">
        <v>127</v>
      </c>
      <c r="G93" s="11" t="s">
        <v>126</v>
      </c>
      <c r="I93" t="s">
        <v>115</v>
      </c>
    </row>
    <row r="94" spans="1:9" x14ac:dyDescent="0.3">
      <c r="C94" t="s">
        <v>127</v>
      </c>
      <c r="E94" s="2" t="s">
        <v>2964</v>
      </c>
      <c r="G94" s="11" t="s">
        <v>127</v>
      </c>
      <c r="I94" t="s">
        <v>116</v>
      </c>
    </row>
    <row r="95" spans="1:9" x14ac:dyDescent="0.3">
      <c r="A95" t="s">
        <v>192</v>
      </c>
      <c r="C95" t="s">
        <v>128</v>
      </c>
      <c r="E95" s="2" t="s">
        <v>130</v>
      </c>
      <c r="G95" s="2" t="s">
        <v>128</v>
      </c>
      <c r="I95" t="s">
        <v>117</v>
      </c>
    </row>
    <row r="96" spans="1:9" x14ac:dyDescent="0.3">
      <c r="A96" t="s">
        <v>1467</v>
      </c>
      <c r="C96" s="7" t="s">
        <v>129</v>
      </c>
      <c r="E96" s="11" t="s">
        <v>131</v>
      </c>
      <c r="G96" s="2" t="s">
        <v>129</v>
      </c>
      <c r="I96" t="s">
        <v>118</v>
      </c>
    </row>
    <row r="97" spans="1:9" x14ac:dyDescent="0.3">
      <c r="C97" t="s">
        <v>130</v>
      </c>
      <c r="E97" s="11"/>
      <c r="G97" s="11" t="s">
        <v>130</v>
      </c>
      <c r="I97" t="s">
        <v>89</v>
      </c>
    </row>
    <row r="98" spans="1:9" x14ac:dyDescent="0.3">
      <c r="A98" t="s">
        <v>122</v>
      </c>
      <c r="C98" t="s">
        <v>131</v>
      </c>
      <c r="E98" s="2"/>
      <c r="G98" s="2" t="s">
        <v>133</v>
      </c>
      <c r="I98" t="s">
        <v>119</v>
      </c>
    </row>
    <row r="99" spans="1:9" x14ac:dyDescent="0.3">
      <c r="A99" t="s">
        <v>123</v>
      </c>
      <c r="E99" s="2" t="s">
        <v>152</v>
      </c>
      <c r="G99" s="11" t="s">
        <v>134</v>
      </c>
      <c r="I99" t="s">
        <v>120</v>
      </c>
    </row>
    <row r="100" spans="1:9" x14ac:dyDescent="0.3">
      <c r="A100" t="s">
        <v>124</v>
      </c>
      <c r="E100" s="11" t="s">
        <v>1467</v>
      </c>
      <c r="G100" s="2" t="s">
        <v>135</v>
      </c>
      <c r="I100" t="s">
        <v>1471</v>
      </c>
    </row>
    <row r="101" spans="1:9" x14ac:dyDescent="0.3">
      <c r="A101" t="s">
        <v>1472</v>
      </c>
      <c r="C101" t="s">
        <v>132</v>
      </c>
      <c r="E101" s="2"/>
      <c r="G101" s="2" t="s">
        <v>136</v>
      </c>
    </row>
    <row r="102" spans="1:9" x14ac:dyDescent="0.3">
      <c r="C102" t="s">
        <v>1467</v>
      </c>
      <c r="E102" s="2" t="s">
        <v>3142</v>
      </c>
      <c r="G102" s="2" t="s">
        <v>137</v>
      </c>
    </row>
    <row r="103" spans="1:9" x14ac:dyDescent="0.3">
      <c r="E103" s="2"/>
      <c r="G103" s="2" t="s">
        <v>138</v>
      </c>
      <c r="I103" t="s">
        <v>192</v>
      </c>
    </row>
    <row r="104" spans="1:9" x14ac:dyDescent="0.3">
      <c r="A104" t="s">
        <v>213</v>
      </c>
      <c r="C104" t="s">
        <v>3141</v>
      </c>
      <c r="E104" s="2" t="s">
        <v>134</v>
      </c>
      <c r="G104" s="2" t="s">
        <v>139</v>
      </c>
      <c r="I104" t="s">
        <v>1467</v>
      </c>
    </row>
    <row r="105" spans="1:9" x14ac:dyDescent="0.3">
      <c r="A105" t="s">
        <v>1467</v>
      </c>
      <c r="E105" s="2" t="s">
        <v>135</v>
      </c>
      <c r="G105" s="2" t="s">
        <v>140</v>
      </c>
    </row>
    <row r="106" spans="1:9" x14ac:dyDescent="0.3">
      <c r="C106" t="s">
        <v>125</v>
      </c>
      <c r="E106" s="2" t="s">
        <v>136</v>
      </c>
      <c r="G106" s="2" t="s">
        <v>141</v>
      </c>
      <c r="I106" t="s">
        <v>3144</v>
      </c>
    </row>
    <row r="107" spans="1:9" x14ac:dyDescent="0.3">
      <c r="A107" t="s">
        <v>126</v>
      </c>
      <c r="C107" t="s">
        <v>126</v>
      </c>
      <c r="E107" s="2" t="s">
        <v>137</v>
      </c>
      <c r="G107" s="2" t="s">
        <v>142</v>
      </c>
    </row>
    <row r="108" spans="1:9" x14ac:dyDescent="0.3">
      <c r="A108" t="s">
        <v>127</v>
      </c>
      <c r="C108" t="s">
        <v>127</v>
      </c>
      <c r="E108" s="2" t="s">
        <v>2965</v>
      </c>
      <c r="G108" s="2" t="s">
        <v>143</v>
      </c>
      <c r="I108" t="s">
        <v>122</v>
      </c>
    </row>
    <row r="109" spans="1:9" x14ac:dyDescent="0.3">
      <c r="A109" t="s">
        <v>1473</v>
      </c>
      <c r="C109" t="s">
        <v>128</v>
      </c>
      <c r="E109" s="2" t="s">
        <v>140</v>
      </c>
      <c r="G109" s="2" t="s">
        <v>144</v>
      </c>
      <c r="I109" t="s">
        <v>123</v>
      </c>
    </row>
    <row r="110" spans="1:9" x14ac:dyDescent="0.3">
      <c r="C110" t="s">
        <v>129</v>
      </c>
      <c r="E110" s="2" t="s">
        <v>141</v>
      </c>
      <c r="G110" s="2" t="s">
        <v>145</v>
      </c>
      <c r="I110" t="s">
        <v>124</v>
      </c>
    </row>
    <row r="111" spans="1:9" x14ac:dyDescent="0.3">
      <c r="C111" t="s">
        <v>130</v>
      </c>
      <c r="E111" s="2" t="s">
        <v>2966</v>
      </c>
      <c r="G111" s="2" t="s">
        <v>89</v>
      </c>
      <c r="I111" t="s">
        <v>1472</v>
      </c>
    </row>
    <row r="112" spans="1:9" x14ac:dyDescent="0.3">
      <c r="A112" t="s">
        <v>233</v>
      </c>
      <c r="C112" t="s">
        <v>133</v>
      </c>
      <c r="E112" s="2" t="s">
        <v>144</v>
      </c>
      <c r="G112" s="2" t="s">
        <v>146</v>
      </c>
    </row>
    <row r="113" spans="1:9" x14ac:dyDescent="0.3">
      <c r="A113" t="s">
        <v>1467</v>
      </c>
      <c r="C113" t="s">
        <v>134</v>
      </c>
      <c r="E113" s="2" t="s">
        <v>2967</v>
      </c>
      <c r="G113" s="2" t="s">
        <v>147</v>
      </c>
    </row>
    <row r="114" spans="1:9" x14ac:dyDescent="0.3">
      <c r="C114" t="s">
        <v>135</v>
      </c>
      <c r="E114" s="2" t="s">
        <v>146</v>
      </c>
      <c r="G114" s="2" t="s">
        <v>148</v>
      </c>
      <c r="I114" t="s">
        <v>213</v>
      </c>
    </row>
    <row r="115" spans="1:9" x14ac:dyDescent="0.3">
      <c r="A115" t="s">
        <v>129</v>
      </c>
      <c r="C115" t="s">
        <v>136</v>
      </c>
      <c r="E115" s="2" t="s">
        <v>147</v>
      </c>
      <c r="G115" s="2" t="s">
        <v>149</v>
      </c>
      <c r="I115" t="s">
        <v>1467</v>
      </c>
    </row>
    <row r="116" spans="1:9" x14ac:dyDescent="0.3">
      <c r="A116" t="s">
        <v>130</v>
      </c>
      <c r="C116" t="s">
        <v>137</v>
      </c>
      <c r="E116" s="2" t="s">
        <v>148</v>
      </c>
      <c r="G116" s="2" t="s">
        <v>150</v>
      </c>
    </row>
    <row r="117" spans="1:9" x14ac:dyDescent="0.3">
      <c r="A117" t="s">
        <v>133</v>
      </c>
      <c r="C117" t="s">
        <v>138</v>
      </c>
      <c r="E117" s="2" t="s">
        <v>149</v>
      </c>
      <c r="G117" s="2" t="s">
        <v>153</v>
      </c>
      <c r="I117" t="s">
        <v>3145</v>
      </c>
    </row>
    <row r="118" spans="1:9" x14ac:dyDescent="0.3">
      <c r="A118" t="s">
        <v>134</v>
      </c>
      <c r="C118" t="s">
        <v>139</v>
      </c>
      <c r="E118" s="2" t="s">
        <v>150</v>
      </c>
      <c r="G118" s="2" t="s">
        <v>154</v>
      </c>
    </row>
    <row r="119" spans="1:9" x14ac:dyDescent="0.3">
      <c r="A119" t="s">
        <v>135</v>
      </c>
      <c r="C119" t="s">
        <v>140</v>
      </c>
      <c r="E119" s="2" t="s">
        <v>153</v>
      </c>
      <c r="G119" s="2" t="s">
        <v>155</v>
      </c>
      <c r="I119" t="s">
        <v>126</v>
      </c>
    </row>
    <row r="120" spans="1:9" x14ac:dyDescent="0.3">
      <c r="A120" t="s">
        <v>136</v>
      </c>
      <c r="C120" t="s">
        <v>141</v>
      </c>
      <c r="E120" s="11" t="s">
        <v>154</v>
      </c>
      <c r="G120" s="2" t="s">
        <v>156</v>
      </c>
      <c r="I120" t="s">
        <v>127</v>
      </c>
    </row>
    <row r="121" spans="1:9" x14ac:dyDescent="0.3">
      <c r="A121" t="s">
        <v>137</v>
      </c>
      <c r="C121" t="s">
        <v>142</v>
      </c>
      <c r="E121" s="11" t="s">
        <v>155</v>
      </c>
      <c r="G121" s="2" t="s">
        <v>157</v>
      </c>
      <c r="I121" t="s">
        <v>1473</v>
      </c>
    </row>
    <row r="122" spans="1:9" x14ac:dyDescent="0.3">
      <c r="A122" t="s">
        <v>138</v>
      </c>
      <c r="C122" t="s">
        <v>143</v>
      </c>
      <c r="E122" s="2" t="s">
        <v>1474</v>
      </c>
      <c r="G122" s="2" t="s">
        <v>158</v>
      </c>
    </row>
    <row r="123" spans="1:9" x14ac:dyDescent="0.3">
      <c r="A123" t="s">
        <v>139</v>
      </c>
      <c r="C123" t="s">
        <v>144</v>
      </c>
      <c r="E123" s="2"/>
      <c r="G123" s="2" t="s">
        <v>159</v>
      </c>
    </row>
    <row r="124" spans="1:9" x14ac:dyDescent="0.3">
      <c r="A124" t="s">
        <v>140</v>
      </c>
      <c r="C124" t="s">
        <v>145</v>
      </c>
      <c r="E124" s="11"/>
      <c r="G124" s="2" t="s">
        <v>160</v>
      </c>
      <c r="I124" t="s">
        <v>233</v>
      </c>
    </row>
    <row r="125" spans="1:9" x14ac:dyDescent="0.3">
      <c r="A125" t="s">
        <v>141</v>
      </c>
      <c r="C125" t="s">
        <v>89</v>
      </c>
      <c r="E125" s="2" t="s">
        <v>173</v>
      </c>
      <c r="G125" s="2" t="s">
        <v>161</v>
      </c>
      <c r="I125" t="s">
        <v>1467</v>
      </c>
    </row>
    <row r="126" spans="1:9" x14ac:dyDescent="0.3">
      <c r="A126" t="s">
        <v>142</v>
      </c>
      <c r="C126" t="s">
        <v>146</v>
      </c>
      <c r="E126" s="2" t="s">
        <v>1467</v>
      </c>
      <c r="G126" s="2" t="s">
        <v>162</v>
      </c>
    </row>
    <row r="127" spans="1:9" x14ac:dyDescent="0.3">
      <c r="A127" t="s">
        <v>143</v>
      </c>
      <c r="C127" t="s">
        <v>147</v>
      </c>
      <c r="E127" s="2"/>
      <c r="G127" s="2" t="s">
        <v>163</v>
      </c>
      <c r="I127" t="s">
        <v>3146</v>
      </c>
    </row>
    <row r="128" spans="1:9" x14ac:dyDescent="0.3">
      <c r="A128" t="s">
        <v>144</v>
      </c>
      <c r="C128" t="s">
        <v>148</v>
      </c>
      <c r="E128" s="2" t="s">
        <v>3143</v>
      </c>
      <c r="G128" s="2" t="s">
        <v>3065</v>
      </c>
    </row>
    <row r="129" spans="1:9" x14ac:dyDescent="0.3">
      <c r="A129" t="s">
        <v>145</v>
      </c>
      <c r="C129" t="s">
        <v>149</v>
      </c>
      <c r="E129" s="2"/>
      <c r="G129" s="2"/>
      <c r="I129" t="s">
        <v>129</v>
      </c>
    </row>
    <row r="130" spans="1:9" x14ac:dyDescent="0.3">
      <c r="A130" t="s">
        <v>89</v>
      </c>
      <c r="C130" t="s">
        <v>150</v>
      </c>
      <c r="E130" s="2" t="s">
        <v>157</v>
      </c>
      <c r="G130" s="2"/>
      <c r="I130" t="s">
        <v>130</v>
      </c>
    </row>
    <row r="131" spans="1:9" x14ac:dyDescent="0.3">
      <c r="A131" t="s">
        <v>146</v>
      </c>
      <c r="C131" t="s">
        <v>151</v>
      </c>
      <c r="E131" s="2" t="s">
        <v>158</v>
      </c>
      <c r="G131" s="2" t="s">
        <v>132</v>
      </c>
      <c r="I131" t="s">
        <v>133</v>
      </c>
    </row>
    <row r="132" spans="1:9" x14ac:dyDescent="0.3">
      <c r="A132" t="s">
        <v>147</v>
      </c>
      <c r="E132" s="2" t="s">
        <v>159</v>
      </c>
      <c r="G132" s="2" t="s">
        <v>1467</v>
      </c>
      <c r="I132" t="s">
        <v>134</v>
      </c>
    </row>
    <row r="133" spans="1:9" x14ac:dyDescent="0.3">
      <c r="A133" t="s">
        <v>148</v>
      </c>
      <c r="E133" s="2" t="s">
        <v>160</v>
      </c>
      <c r="G133" s="2"/>
      <c r="I133" t="s">
        <v>135</v>
      </c>
    </row>
    <row r="134" spans="1:9" x14ac:dyDescent="0.3">
      <c r="A134" t="s">
        <v>149</v>
      </c>
      <c r="C134" t="s">
        <v>152</v>
      </c>
      <c r="E134" s="2" t="s">
        <v>2968</v>
      </c>
      <c r="G134" s="2" t="s">
        <v>3141</v>
      </c>
      <c r="I134" t="s">
        <v>136</v>
      </c>
    </row>
    <row r="135" spans="1:9" x14ac:dyDescent="0.3">
      <c r="A135" t="s">
        <v>150</v>
      </c>
      <c r="C135" t="s">
        <v>1467</v>
      </c>
      <c r="E135" s="2" t="s">
        <v>163</v>
      </c>
      <c r="G135" s="2"/>
      <c r="I135" t="s">
        <v>137</v>
      </c>
    </row>
    <row r="136" spans="1:9" x14ac:dyDescent="0.3">
      <c r="A136" t="s">
        <v>153</v>
      </c>
      <c r="E136" s="2" t="s">
        <v>164</v>
      </c>
      <c r="G136" s="11" t="s">
        <v>159</v>
      </c>
      <c r="I136" t="s">
        <v>138</v>
      </c>
    </row>
    <row r="137" spans="1:9" x14ac:dyDescent="0.3">
      <c r="A137" t="s">
        <v>154</v>
      </c>
      <c r="C137" t="s">
        <v>3142</v>
      </c>
      <c r="E137" s="2" t="s">
        <v>165</v>
      </c>
      <c r="G137" s="11" t="s">
        <v>160</v>
      </c>
      <c r="I137" t="s">
        <v>139</v>
      </c>
    </row>
    <row r="138" spans="1:9" x14ac:dyDescent="0.3">
      <c r="A138" t="s">
        <v>155</v>
      </c>
      <c r="E138" s="2" t="s">
        <v>166</v>
      </c>
      <c r="G138" s="2" t="s">
        <v>161</v>
      </c>
      <c r="I138" t="s">
        <v>140</v>
      </c>
    </row>
    <row r="139" spans="1:9" x14ac:dyDescent="0.3">
      <c r="A139" t="s">
        <v>1474</v>
      </c>
      <c r="C139" t="s">
        <v>148</v>
      </c>
      <c r="E139" s="11" t="s">
        <v>167</v>
      </c>
      <c r="G139" s="2" t="s">
        <v>162</v>
      </c>
      <c r="I139" t="s">
        <v>141</v>
      </c>
    </row>
    <row r="140" spans="1:9" x14ac:dyDescent="0.3">
      <c r="C140" t="s">
        <v>149</v>
      </c>
      <c r="E140" s="11" t="s">
        <v>2969</v>
      </c>
      <c r="G140" s="11" t="s">
        <v>163</v>
      </c>
      <c r="I140" t="s">
        <v>142</v>
      </c>
    </row>
    <row r="141" spans="1:9" x14ac:dyDescent="0.3">
      <c r="C141" t="s">
        <v>150</v>
      </c>
      <c r="E141" s="2" t="s">
        <v>170</v>
      </c>
      <c r="G141" s="2" t="s">
        <v>164</v>
      </c>
      <c r="I141" t="s">
        <v>143</v>
      </c>
    </row>
    <row r="142" spans="1:9" x14ac:dyDescent="0.3">
      <c r="A142" t="s">
        <v>256</v>
      </c>
      <c r="C142" t="s">
        <v>153</v>
      </c>
      <c r="E142" s="2" t="s">
        <v>171</v>
      </c>
      <c r="G142" s="11" t="s">
        <v>165</v>
      </c>
      <c r="I142" t="s">
        <v>144</v>
      </c>
    </row>
    <row r="143" spans="1:9" x14ac:dyDescent="0.3">
      <c r="A143" t="s">
        <v>1467</v>
      </c>
      <c r="C143" t="s">
        <v>154</v>
      </c>
      <c r="E143" s="11" t="s">
        <v>2970</v>
      </c>
      <c r="G143" s="2" t="s">
        <v>166</v>
      </c>
      <c r="I143" t="s">
        <v>145</v>
      </c>
    </row>
    <row r="144" spans="1:9" x14ac:dyDescent="0.3">
      <c r="C144" t="s">
        <v>155</v>
      </c>
      <c r="E144" s="2"/>
      <c r="G144" s="2" t="s">
        <v>167</v>
      </c>
      <c r="I144" t="s">
        <v>89</v>
      </c>
    </row>
    <row r="145" spans="1:9" x14ac:dyDescent="0.3">
      <c r="A145" t="s">
        <v>150</v>
      </c>
      <c r="C145" t="s">
        <v>156</v>
      </c>
      <c r="E145" s="2"/>
      <c r="G145" s="2" t="s">
        <v>168</v>
      </c>
      <c r="I145" t="s">
        <v>146</v>
      </c>
    </row>
    <row r="146" spans="1:9" x14ac:dyDescent="0.3">
      <c r="A146" t="s">
        <v>153</v>
      </c>
      <c r="C146" t="s">
        <v>157</v>
      </c>
      <c r="E146" s="2" t="s">
        <v>192</v>
      </c>
      <c r="G146" s="2" t="s">
        <v>169</v>
      </c>
      <c r="I146" t="s">
        <v>147</v>
      </c>
    </row>
    <row r="147" spans="1:9" x14ac:dyDescent="0.3">
      <c r="A147" t="s">
        <v>154</v>
      </c>
      <c r="C147" t="s">
        <v>158</v>
      </c>
      <c r="E147" s="2" t="s">
        <v>1467</v>
      </c>
      <c r="G147" s="2" t="s">
        <v>170</v>
      </c>
      <c r="I147" t="s">
        <v>148</v>
      </c>
    </row>
    <row r="148" spans="1:9" x14ac:dyDescent="0.3">
      <c r="A148" t="s">
        <v>155</v>
      </c>
      <c r="C148" t="s">
        <v>159</v>
      </c>
      <c r="E148" s="2"/>
      <c r="G148" s="2" t="s">
        <v>171</v>
      </c>
      <c r="I148" t="s">
        <v>149</v>
      </c>
    </row>
    <row r="149" spans="1:9" x14ac:dyDescent="0.3">
      <c r="A149" t="s">
        <v>156</v>
      </c>
      <c r="C149" t="s">
        <v>160</v>
      </c>
      <c r="E149" s="2" t="s">
        <v>3144</v>
      </c>
      <c r="G149" s="2" t="s">
        <v>174</v>
      </c>
      <c r="I149" t="s">
        <v>150</v>
      </c>
    </row>
    <row r="150" spans="1:9" x14ac:dyDescent="0.3">
      <c r="A150" t="s">
        <v>157</v>
      </c>
      <c r="C150" t="s">
        <v>161</v>
      </c>
      <c r="E150" s="2"/>
      <c r="G150" s="2" t="s">
        <v>89</v>
      </c>
      <c r="I150" t="s">
        <v>153</v>
      </c>
    </row>
    <row r="151" spans="1:9" x14ac:dyDescent="0.3">
      <c r="A151" t="s">
        <v>158</v>
      </c>
      <c r="C151" t="s">
        <v>162</v>
      </c>
      <c r="E151" s="2" t="s">
        <v>2971</v>
      </c>
      <c r="G151" s="2" t="s">
        <v>175</v>
      </c>
      <c r="I151" t="s">
        <v>154</v>
      </c>
    </row>
    <row r="152" spans="1:9" x14ac:dyDescent="0.3">
      <c r="A152" t="s">
        <v>159</v>
      </c>
      <c r="C152" t="s">
        <v>163</v>
      </c>
      <c r="E152" s="2" t="s">
        <v>89</v>
      </c>
      <c r="G152" s="2" t="s">
        <v>176</v>
      </c>
      <c r="I152" t="s">
        <v>155</v>
      </c>
    </row>
    <row r="153" spans="1:9" x14ac:dyDescent="0.3">
      <c r="A153" t="s">
        <v>160</v>
      </c>
      <c r="C153" t="s">
        <v>164</v>
      </c>
      <c r="E153" s="2" t="s">
        <v>175</v>
      </c>
      <c r="G153" s="2" t="s">
        <v>177</v>
      </c>
      <c r="I153" t="s">
        <v>1474</v>
      </c>
    </row>
    <row r="154" spans="1:9" x14ac:dyDescent="0.3">
      <c r="A154" t="s">
        <v>161</v>
      </c>
      <c r="C154" t="s">
        <v>165</v>
      </c>
      <c r="E154" s="2" t="s">
        <v>176</v>
      </c>
      <c r="G154" s="2" t="s">
        <v>178</v>
      </c>
    </row>
    <row r="155" spans="1:9" x14ac:dyDescent="0.3">
      <c r="A155" t="s">
        <v>162</v>
      </c>
      <c r="C155" t="s">
        <v>166</v>
      </c>
      <c r="E155" s="2" t="s">
        <v>177</v>
      </c>
      <c r="G155" s="2" t="s">
        <v>179</v>
      </c>
    </row>
    <row r="156" spans="1:9" x14ac:dyDescent="0.3">
      <c r="A156" t="s">
        <v>163</v>
      </c>
      <c r="C156" t="s">
        <v>167</v>
      </c>
      <c r="E156" s="2" t="s">
        <v>178</v>
      </c>
      <c r="G156" s="2" t="s">
        <v>180</v>
      </c>
      <c r="I156" t="s">
        <v>256</v>
      </c>
    </row>
    <row r="157" spans="1:9" x14ac:dyDescent="0.3">
      <c r="A157" t="s">
        <v>164</v>
      </c>
      <c r="C157" t="s">
        <v>168</v>
      </c>
      <c r="E157" s="2" t="s">
        <v>179</v>
      </c>
      <c r="G157" s="2" t="s">
        <v>181</v>
      </c>
      <c r="I157" t="s">
        <v>1467</v>
      </c>
    </row>
    <row r="158" spans="1:9" x14ac:dyDescent="0.3">
      <c r="A158" t="s">
        <v>165</v>
      </c>
      <c r="C158" t="s">
        <v>169</v>
      </c>
      <c r="E158" s="2" t="s">
        <v>180</v>
      </c>
      <c r="G158" s="2" t="s">
        <v>182</v>
      </c>
    </row>
    <row r="159" spans="1:9" x14ac:dyDescent="0.3">
      <c r="A159" t="s">
        <v>166</v>
      </c>
      <c r="C159" t="s">
        <v>170</v>
      </c>
      <c r="E159" s="2" t="s">
        <v>181</v>
      </c>
      <c r="G159" s="2" t="s">
        <v>183</v>
      </c>
      <c r="I159" t="s">
        <v>3147</v>
      </c>
    </row>
    <row r="160" spans="1:9" x14ac:dyDescent="0.3">
      <c r="A160" t="s">
        <v>167</v>
      </c>
      <c r="C160" t="s">
        <v>171</v>
      </c>
      <c r="E160" s="11" t="s">
        <v>182</v>
      </c>
      <c r="G160" s="2" t="s">
        <v>184</v>
      </c>
    </row>
    <row r="161" spans="1:9" x14ac:dyDescent="0.3">
      <c r="A161" t="s">
        <v>1475</v>
      </c>
      <c r="C161" t="s">
        <v>172</v>
      </c>
      <c r="E161" s="11" t="s">
        <v>2972</v>
      </c>
      <c r="G161" s="2" t="s">
        <v>185</v>
      </c>
      <c r="I161" t="s">
        <v>150</v>
      </c>
    </row>
    <row r="162" spans="1:9" x14ac:dyDescent="0.3">
      <c r="E162" s="2" t="s">
        <v>3466</v>
      </c>
      <c r="G162" s="2" t="s">
        <v>186</v>
      </c>
      <c r="I162" t="s">
        <v>153</v>
      </c>
    </row>
    <row r="163" spans="1:9" x14ac:dyDescent="0.3">
      <c r="E163" s="2" t="s">
        <v>187</v>
      </c>
      <c r="G163" s="2" t="s">
        <v>187</v>
      </c>
      <c r="I163" t="s">
        <v>154</v>
      </c>
    </row>
    <row r="164" spans="1:9" x14ac:dyDescent="0.3">
      <c r="A164" t="s">
        <v>273</v>
      </c>
      <c r="C164" t="s">
        <v>173</v>
      </c>
      <c r="E164" s="11" t="s">
        <v>188</v>
      </c>
      <c r="G164" s="2" t="s">
        <v>188</v>
      </c>
      <c r="I164" t="s">
        <v>155</v>
      </c>
    </row>
    <row r="165" spans="1:9" x14ac:dyDescent="0.3">
      <c r="A165" t="s">
        <v>1467</v>
      </c>
      <c r="C165" t="s">
        <v>1467</v>
      </c>
      <c r="E165" s="2" t="s">
        <v>189</v>
      </c>
      <c r="G165" s="2" t="s">
        <v>189</v>
      </c>
      <c r="I165" t="s">
        <v>156</v>
      </c>
    </row>
    <row r="166" spans="1:9" x14ac:dyDescent="0.3">
      <c r="E166" s="2" t="s">
        <v>2973</v>
      </c>
      <c r="G166" s="2" t="s">
        <v>190</v>
      </c>
      <c r="I166" t="s">
        <v>157</v>
      </c>
    </row>
    <row r="167" spans="1:9" x14ac:dyDescent="0.3">
      <c r="A167" t="s">
        <v>169</v>
      </c>
      <c r="C167" t="s">
        <v>3143</v>
      </c>
      <c r="E167" s="2"/>
      <c r="G167" s="2" t="s">
        <v>193</v>
      </c>
      <c r="I167" t="s">
        <v>158</v>
      </c>
    </row>
    <row r="168" spans="1:9" x14ac:dyDescent="0.3">
      <c r="A168" t="s">
        <v>170</v>
      </c>
      <c r="E168" s="2"/>
      <c r="G168" s="2" t="s">
        <v>1476</v>
      </c>
      <c r="I168" t="s">
        <v>159</v>
      </c>
    </row>
    <row r="169" spans="1:9" x14ac:dyDescent="0.3">
      <c r="A169" t="s">
        <v>171</v>
      </c>
      <c r="C169" t="s">
        <v>167</v>
      </c>
      <c r="E169" s="2" t="s">
        <v>213</v>
      </c>
      <c r="G169" s="2"/>
      <c r="I169" t="s">
        <v>160</v>
      </c>
    </row>
    <row r="170" spans="1:9" x14ac:dyDescent="0.3">
      <c r="A170" t="s">
        <v>174</v>
      </c>
      <c r="C170" t="s">
        <v>168</v>
      </c>
      <c r="E170" s="2" t="s">
        <v>1467</v>
      </c>
      <c r="G170" s="2"/>
      <c r="I170" t="s">
        <v>161</v>
      </c>
    </row>
    <row r="171" spans="1:9" x14ac:dyDescent="0.3">
      <c r="A171" t="s">
        <v>89</v>
      </c>
      <c r="C171" t="s">
        <v>169</v>
      </c>
      <c r="E171" s="2"/>
      <c r="G171" s="2" t="s">
        <v>152</v>
      </c>
      <c r="I171" t="s">
        <v>162</v>
      </c>
    </row>
    <row r="172" spans="1:9" x14ac:dyDescent="0.3">
      <c r="A172" t="s">
        <v>175</v>
      </c>
      <c r="C172" t="s">
        <v>170</v>
      </c>
      <c r="E172" s="2" t="s">
        <v>3145</v>
      </c>
      <c r="G172" s="2" t="s">
        <v>1467</v>
      </c>
      <c r="I172" t="s">
        <v>163</v>
      </c>
    </row>
    <row r="173" spans="1:9" x14ac:dyDescent="0.3">
      <c r="A173" t="s">
        <v>176</v>
      </c>
      <c r="C173" t="s">
        <v>171</v>
      </c>
      <c r="E173" s="2"/>
      <c r="G173" s="2"/>
      <c r="I173" t="s">
        <v>164</v>
      </c>
    </row>
    <row r="174" spans="1:9" x14ac:dyDescent="0.3">
      <c r="A174" t="s">
        <v>177</v>
      </c>
      <c r="C174" t="s">
        <v>174</v>
      </c>
      <c r="E174" s="2" t="s">
        <v>2974</v>
      </c>
      <c r="G174" s="2" t="s">
        <v>3142</v>
      </c>
      <c r="I174" t="s">
        <v>165</v>
      </c>
    </row>
    <row r="175" spans="1:9" x14ac:dyDescent="0.3">
      <c r="A175" t="s">
        <v>178</v>
      </c>
      <c r="C175" t="s">
        <v>89</v>
      </c>
      <c r="E175" s="2" t="s">
        <v>193</v>
      </c>
      <c r="G175" s="2"/>
      <c r="I175" t="s">
        <v>166</v>
      </c>
    </row>
    <row r="176" spans="1:9" x14ac:dyDescent="0.3">
      <c r="A176" t="s">
        <v>179</v>
      </c>
      <c r="C176" t="s">
        <v>175</v>
      </c>
      <c r="E176" s="2" t="s">
        <v>194</v>
      </c>
      <c r="G176" s="11" t="s">
        <v>187</v>
      </c>
      <c r="I176" t="s">
        <v>167</v>
      </c>
    </row>
    <row r="177" spans="1:9" x14ac:dyDescent="0.3">
      <c r="A177" t="s">
        <v>180</v>
      </c>
      <c r="C177" t="s">
        <v>176</v>
      </c>
      <c r="E177" s="2" t="s">
        <v>195</v>
      </c>
      <c r="G177" s="11" t="s">
        <v>188</v>
      </c>
      <c r="I177" t="s">
        <v>1475</v>
      </c>
    </row>
    <row r="178" spans="1:9" x14ac:dyDescent="0.3">
      <c r="A178" t="s">
        <v>181</v>
      </c>
      <c r="C178" t="s">
        <v>177</v>
      </c>
      <c r="E178" s="2" t="s">
        <v>196</v>
      </c>
      <c r="G178" s="2" t="s">
        <v>189</v>
      </c>
    </row>
    <row r="179" spans="1:9" x14ac:dyDescent="0.3">
      <c r="A179" t="s">
        <v>182</v>
      </c>
      <c r="C179" t="s">
        <v>178</v>
      </c>
      <c r="E179" s="2" t="s">
        <v>197</v>
      </c>
      <c r="G179" s="2" t="s">
        <v>190</v>
      </c>
    </row>
    <row r="180" spans="1:9" x14ac:dyDescent="0.3">
      <c r="A180" t="s">
        <v>183</v>
      </c>
      <c r="C180" t="s">
        <v>179</v>
      </c>
      <c r="E180" s="2" t="s">
        <v>198</v>
      </c>
      <c r="G180" s="11" t="s">
        <v>193</v>
      </c>
      <c r="I180" t="s">
        <v>273</v>
      </c>
    </row>
    <row r="181" spans="1:9" x14ac:dyDescent="0.3">
      <c r="A181" t="s">
        <v>184</v>
      </c>
      <c r="C181" t="s">
        <v>180</v>
      </c>
      <c r="E181" s="2" t="s">
        <v>199</v>
      </c>
      <c r="G181" s="2" t="s">
        <v>194</v>
      </c>
      <c r="I181" t="s">
        <v>1467</v>
      </c>
    </row>
    <row r="182" spans="1:9" x14ac:dyDescent="0.3">
      <c r="A182" t="s">
        <v>185</v>
      </c>
      <c r="C182" t="s">
        <v>181</v>
      </c>
      <c r="E182" s="2" t="s">
        <v>2975</v>
      </c>
      <c r="G182" s="11" t="s">
        <v>195</v>
      </c>
    </row>
    <row r="183" spans="1:9" x14ac:dyDescent="0.3">
      <c r="A183" t="s">
        <v>186</v>
      </c>
      <c r="C183" t="s">
        <v>182</v>
      </c>
      <c r="E183" s="2" t="s">
        <v>89</v>
      </c>
      <c r="G183" s="2" t="s">
        <v>196</v>
      </c>
      <c r="I183" t="s">
        <v>3148</v>
      </c>
    </row>
    <row r="184" spans="1:9" x14ac:dyDescent="0.3">
      <c r="A184" t="s">
        <v>187</v>
      </c>
      <c r="C184" t="s">
        <v>183</v>
      </c>
      <c r="E184" s="11" t="s">
        <v>202</v>
      </c>
      <c r="G184" s="2" t="s">
        <v>197</v>
      </c>
    </row>
    <row r="185" spans="1:9" x14ac:dyDescent="0.3">
      <c r="A185" t="s">
        <v>188</v>
      </c>
      <c r="C185" t="s">
        <v>184</v>
      </c>
      <c r="E185" s="11" t="s">
        <v>203</v>
      </c>
      <c r="G185" s="2" t="s">
        <v>198</v>
      </c>
      <c r="I185" t="s">
        <v>169</v>
      </c>
    </row>
    <row r="186" spans="1:9" x14ac:dyDescent="0.3">
      <c r="A186" t="s">
        <v>189</v>
      </c>
      <c r="C186" t="s">
        <v>185</v>
      </c>
      <c r="E186" s="2" t="s">
        <v>204</v>
      </c>
      <c r="G186" s="2" t="s">
        <v>199</v>
      </c>
      <c r="I186" t="s">
        <v>170</v>
      </c>
    </row>
    <row r="187" spans="1:9" x14ac:dyDescent="0.3">
      <c r="A187" t="s">
        <v>190</v>
      </c>
      <c r="C187" t="s">
        <v>186</v>
      </c>
      <c r="E187" s="2" t="s">
        <v>205</v>
      </c>
      <c r="G187" s="2" t="s">
        <v>200</v>
      </c>
      <c r="I187" t="s">
        <v>171</v>
      </c>
    </row>
    <row r="188" spans="1:9" x14ac:dyDescent="0.3">
      <c r="A188" t="s">
        <v>193</v>
      </c>
      <c r="C188" t="s">
        <v>187</v>
      </c>
      <c r="E188" s="11" t="s">
        <v>206</v>
      </c>
      <c r="G188" s="2" t="s">
        <v>201</v>
      </c>
      <c r="I188" t="s">
        <v>174</v>
      </c>
    </row>
    <row r="189" spans="1:9" x14ac:dyDescent="0.3">
      <c r="A189" t="s">
        <v>1476</v>
      </c>
      <c r="C189" t="s">
        <v>188</v>
      </c>
      <c r="E189" s="2" t="s">
        <v>207</v>
      </c>
      <c r="G189" s="2" t="s">
        <v>89</v>
      </c>
      <c r="I189" t="s">
        <v>89</v>
      </c>
    </row>
    <row r="190" spans="1:9" x14ac:dyDescent="0.3">
      <c r="C190" t="s">
        <v>189</v>
      </c>
      <c r="E190" s="2" t="s">
        <v>208</v>
      </c>
      <c r="G190" s="2" t="s">
        <v>202</v>
      </c>
      <c r="I190" t="s">
        <v>175</v>
      </c>
    </row>
    <row r="191" spans="1:9" x14ac:dyDescent="0.3">
      <c r="C191" t="s">
        <v>190</v>
      </c>
      <c r="E191" s="2" t="s">
        <v>209</v>
      </c>
      <c r="G191" s="2" t="s">
        <v>203</v>
      </c>
      <c r="I191" t="s">
        <v>176</v>
      </c>
    </row>
    <row r="192" spans="1:9" x14ac:dyDescent="0.3">
      <c r="A192" t="s">
        <v>295</v>
      </c>
      <c r="C192" t="s">
        <v>191</v>
      </c>
      <c r="E192" s="2" t="s">
        <v>2976</v>
      </c>
      <c r="G192" s="2" t="s">
        <v>204</v>
      </c>
      <c r="I192" t="s">
        <v>177</v>
      </c>
    </row>
    <row r="193" spans="1:9" x14ac:dyDescent="0.3">
      <c r="A193" t="s">
        <v>1467</v>
      </c>
      <c r="E193" s="2"/>
      <c r="G193" s="2" t="s">
        <v>205</v>
      </c>
      <c r="I193" t="s">
        <v>178</v>
      </c>
    </row>
    <row r="194" spans="1:9" x14ac:dyDescent="0.3">
      <c r="E194" s="2"/>
      <c r="G194" s="2" t="s">
        <v>206</v>
      </c>
      <c r="I194" t="s">
        <v>179</v>
      </c>
    </row>
    <row r="195" spans="1:9" x14ac:dyDescent="0.3">
      <c r="A195" t="s">
        <v>188</v>
      </c>
      <c r="C195" t="s">
        <v>192</v>
      </c>
      <c r="E195" s="2" t="s">
        <v>233</v>
      </c>
      <c r="G195" s="2" t="s">
        <v>207</v>
      </c>
      <c r="I195" t="s">
        <v>180</v>
      </c>
    </row>
    <row r="196" spans="1:9" x14ac:dyDescent="0.3">
      <c r="A196" t="s">
        <v>189</v>
      </c>
      <c r="C196" t="s">
        <v>1467</v>
      </c>
      <c r="E196" s="2" t="s">
        <v>1467</v>
      </c>
      <c r="G196" s="2" t="s">
        <v>208</v>
      </c>
      <c r="I196" t="s">
        <v>181</v>
      </c>
    </row>
    <row r="197" spans="1:9" x14ac:dyDescent="0.3">
      <c r="A197" t="s">
        <v>190</v>
      </c>
      <c r="E197" s="2"/>
      <c r="G197" s="2" t="s">
        <v>209</v>
      </c>
      <c r="I197" t="s">
        <v>182</v>
      </c>
    </row>
    <row r="198" spans="1:9" x14ac:dyDescent="0.3">
      <c r="A198" t="s">
        <v>193</v>
      </c>
      <c r="C198" t="s">
        <v>3144</v>
      </c>
      <c r="E198" s="2" t="s">
        <v>3146</v>
      </c>
      <c r="G198" s="2" t="s">
        <v>210</v>
      </c>
      <c r="I198" t="s">
        <v>183</v>
      </c>
    </row>
    <row r="199" spans="1:9" x14ac:dyDescent="0.3">
      <c r="A199" t="s">
        <v>194</v>
      </c>
      <c r="E199" s="2"/>
      <c r="G199" s="2" t="s">
        <v>211</v>
      </c>
      <c r="I199" t="s">
        <v>184</v>
      </c>
    </row>
    <row r="200" spans="1:9" x14ac:dyDescent="0.3">
      <c r="A200" t="s">
        <v>195</v>
      </c>
      <c r="C200" t="s">
        <v>187</v>
      </c>
      <c r="E200" s="2" t="s">
        <v>211</v>
      </c>
      <c r="G200" s="2" t="s">
        <v>214</v>
      </c>
      <c r="I200" t="s">
        <v>185</v>
      </c>
    </row>
    <row r="201" spans="1:9" x14ac:dyDescent="0.3">
      <c r="A201" t="s">
        <v>196</v>
      </c>
      <c r="C201" t="s">
        <v>188</v>
      </c>
      <c r="E201" s="2" t="s">
        <v>214</v>
      </c>
      <c r="G201" s="2" t="s">
        <v>215</v>
      </c>
      <c r="I201" t="s">
        <v>186</v>
      </c>
    </row>
    <row r="202" spans="1:9" x14ac:dyDescent="0.3">
      <c r="A202" t="s">
        <v>197</v>
      </c>
      <c r="C202" t="s">
        <v>189</v>
      </c>
      <c r="E202" s="2" t="s">
        <v>215</v>
      </c>
      <c r="G202" s="2" t="s">
        <v>216</v>
      </c>
      <c r="I202" t="s">
        <v>187</v>
      </c>
    </row>
    <row r="203" spans="1:9" x14ac:dyDescent="0.3">
      <c r="A203" t="s">
        <v>198</v>
      </c>
      <c r="C203" t="s">
        <v>190</v>
      </c>
      <c r="E203" s="2" t="s">
        <v>216</v>
      </c>
      <c r="G203" s="2" t="s">
        <v>217</v>
      </c>
      <c r="I203" t="s">
        <v>188</v>
      </c>
    </row>
    <row r="204" spans="1:9" x14ac:dyDescent="0.3">
      <c r="A204" t="s">
        <v>199</v>
      </c>
      <c r="C204" t="s">
        <v>193</v>
      </c>
      <c r="E204" s="2" t="s">
        <v>217</v>
      </c>
      <c r="G204" s="2" t="s">
        <v>218</v>
      </c>
      <c r="I204" t="s">
        <v>189</v>
      </c>
    </row>
    <row r="205" spans="1:9" x14ac:dyDescent="0.3">
      <c r="A205" t="s">
        <v>200</v>
      </c>
      <c r="C205" t="s">
        <v>194</v>
      </c>
      <c r="E205" s="2" t="s">
        <v>218</v>
      </c>
      <c r="G205" s="2" t="s">
        <v>219</v>
      </c>
      <c r="I205" t="s">
        <v>190</v>
      </c>
    </row>
    <row r="206" spans="1:9" x14ac:dyDescent="0.3">
      <c r="A206" t="s">
        <v>201</v>
      </c>
      <c r="C206" t="s">
        <v>195</v>
      </c>
      <c r="E206" s="2" t="s">
        <v>219</v>
      </c>
      <c r="G206" s="2" t="s">
        <v>220</v>
      </c>
      <c r="I206" t="s">
        <v>193</v>
      </c>
    </row>
    <row r="207" spans="1:9" x14ac:dyDescent="0.3">
      <c r="A207" t="s">
        <v>89</v>
      </c>
      <c r="C207" t="s">
        <v>196</v>
      </c>
      <c r="E207" s="2" t="s">
        <v>220</v>
      </c>
      <c r="G207" s="2" t="s">
        <v>221</v>
      </c>
      <c r="I207" t="s">
        <v>1476</v>
      </c>
    </row>
    <row r="208" spans="1:9" x14ac:dyDescent="0.3">
      <c r="A208" t="s">
        <v>202</v>
      </c>
      <c r="C208" t="s">
        <v>197</v>
      </c>
      <c r="E208" s="11" t="s">
        <v>2977</v>
      </c>
      <c r="G208" s="2" t="s">
        <v>222</v>
      </c>
    </row>
    <row r="209" spans="1:9" x14ac:dyDescent="0.3">
      <c r="A209" t="s">
        <v>203</v>
      </c>
      <c r="C209" t="s">
        <v>198</v>
      </c>
      <c r="E209" s="11" t="s">
        <v>223</v>
      </c>
      <c r="G209" s="2" t="s">
        <v>3066</v>
      </c>
    </row>
    <row r="210" spans="1:9" x14ac:dyDescent="0.3">
      <c r="A210" t="s">
        <v>204</v>
      </c>
      <c r="C210" t="s">
        <v>199</v>
      </c>
      <c r="E210" s="2" t="s">
        <v>224</v>
      </c>
      <c r="G210" s="2"/>
      <c r="I210" t="s">
        <v>295</v>
      </c>
    </row>
    <row r="211" spans="1:9" x14ac:dyDescent="0.3">
      <c r="A211" t="s">
        <v>205</v>
      </c>
      <c r="C211" t="s">
        <v>200</v>
      </c>
      <c r="E211" s="2" t="s">
        <v>225</v>
      </c>
      <c r="G211" s="2"/>
      <c r="I211" t="s">
        <v>1467</v>
      </c>
    </row>
    <row r="212" spans="1:9" x14ac:dyDescent="0.3">
      <c r="A212" t="s">
        <v>206</v>
      </c>
      <c r="C212" t="s">
        <v>201</v>
      </c>
      <c r="E212" s="11" t="s">
        <v>3467</v>
      </c>
      <c r="G212" s="2" t="s">
        <v>173</v>
      </c>
    </row>
    <row r="213" spans="1:9" x14ac:dyDescent="0.3">
      <c r="A213" t="s">
        <v>207</v>
      </c>
      <c r="C213" t="s">
        <v>89</v>
      </c>
      <c r="E213" s="2" t="s">
        <v>228</v>
      </c>
      <c r="G213" s="2" t="s">
        <v>1467</v>
      </c>
      <c r="I213" t="s">
        <v>3149</v>
      </c>
    </row>
    <row r="214" spans="1:9" x14ac:dyDescent="0.3">
      <c r="A214" t="s">
        <v>208</v>
      </c>
      <c r="C214" t="s">
        <v>202</v>
      </c>
      <c r="E214" s="2" t="s">
        <v>89</v>
      </c>
      <c r="G214" s="2"/>
    </row>
    <row r="215" spans="1:9" x14ac:dyDescent="0.3">
      <c r="A215" t="s">
        <v>209</v>
      </c>
      <c r="C215" t="s">
        <v>203</v>
      </c>
      <c r="E215" s="2" t="s">
        <v>229</v>
      </c>
      <c r="G215" s="2" t="s">
        <v>3143</v>
      </c>
      <c r="I215" t="s">
        <v>188</v>
      </c>
    </row>
    <row r="216" spans="1:9" x14ac:dyDescent="0.3">
      <c r="A216" t="s">
        <v>210</v>
      </c>
      <c r="C216" t="s">
        <v>204</v>
      </c>
      <c r="E216" s="2" t="s">
        <v>230</v>
      </c>
      <c r="G216" s="2"/>
      <c r="I216" t="s">
        <v>189</v>
      </c>
    </row>
    <row r="217" spans="1:9" x14ac:dyDescent="0.3">
      <c r="A217" t="s">
        <v>211</v>
      </c>
      <c r="C217" t="s">
        <v>205</v>
      </c>
      <c r="E217" s="2" t="s">
        <v>231</v>
      </c>
      <c r="G217" s="11" t="s">
        <v>217</v>
      </c>
      <c r="I217" t="s">
        <v>190</v>
      </c>
    </row>
    <row r="218" spans="1:9" x14ac:dyDescent="0.3">
      <c r="A218" t="s">
        <v>214</v>
      </c>
      <c r="C218" t="s">
        <v>206</v>
      </c>
      <c r="E218" s="2" t="s">
        <v>232</v>
      </c>
      <c r="G218" s="11" t="s">
        <v>218</v>
      </c>
      <c r="I218" t="s">
        <v>193</v>
      </c>
    </row>
    <row r="219" spans="1:9" x14ac:dyDescent="0.3">
      <c r="A219" t="s">
        <v>1477</v>
      </c>
      <c r="C219" t="s">
        <v>207</v>
      </c>
      <c r="E219" s="2"/>
      <c r="G219" s="2" t="s">
        <v>219</v>
      </c>
      <c r="I219" t="s">
        <v>194</v>
      </c>
    </row>
    <row r="220" spans="1:9" x14ac:dyDescent="0.3">
      <c r="C220" t="s">
        <v>208</v>
      </c>
      <c r="E220" s="2"/>
      <c r="G220" s="2" t="s">
        <v>220</v>
      </c>
      <c r="I220" t="s">
        <v>195</v>
      </c>
    </row>
    <row r="221" spans="1:9" x14ac:dyDescent="0.3">
      <c r="C221" t="s">
        <v>209</v>
      </c>
      <c r="E221" s="2" t="s">
        <v>256</v>
      </c>
      <c r="G221" s="11" t="s">
        <v>221</v>
      </c>
      <c r="I221" t="s">
        <v>196</v>
      </c>
    </row>
    <row r="222" spans="1:9" x14ac:dyDescent="0.3">
      <c r="A222" t="s">
        <v>318</v>
      </c>
      <c r="C222" t="s">
        <v>210</v>
      </c>
      <c r="E222" s="2" t="s">
        <v>1467</v>
      </c>
      <c r="G222" s="2" t="s">
        <v>222</v>
      </c>
      <c r="I222" t="s">
        <v>197</v>
      </c>
    </row>
    <row r="223" spans="1:9" x14ac:dyDescent="0.3">
      <c r="A223" t="s">
        <v>1467</v>
      </c>
      <c r="C223" t="s">
        <v>211</v>
      </c>
      <c r="E223" s="2"/>
      <c r="G223" s="11" t="s">
        <v>223</v>
      </c>
      <c r="I223" t="s">
        <v>198</v>
      </c>
    </row>
    <row r="224" spans="1:9" x14ac:dyDescent="0.3">
      <c r="C224" t="s">
        <v>212</v>
      </c>
      <c r="E224" s="2" t="s">
        <v>3147</v>
      </c>
      <c r="G224" s="2" t="s">
        <v>224</v>
      </c>
      <c r="I224" t="s">
        <v>199</v>
      </c>
    </row>
    <row r="225" spans="1:9" x14ac:dyDescent="0.3">
      <c r="A225" t="s">
        <v>208</v>
      </c>
      <c r="E225" s="2"/>
      <c r="G225" s="2" t="s">
        <v>225</v>
      </c>
      <c r="I225" t="s">
        <v>200</v>
      </c>
    </row>
    <row r="226" spans="1:9" x14ac:dyDescent="0.3">
      <c r="A226" t="s">
        <v>209</v>
      </c>
      <c r="E226" s="2" t="s">
        <v>235</v>
      </c>
      <c r="G226" s="2" t="s">
        <v>226</v>
      </c>
      <c r="I226" t="s">
        <v>201</v>
      </c>
    </row>
    <row r="227" spans="1:9" x14ac:dyDescent="0.3">
      <c r="A227" t="s">
        <v>210</v>
      </c>
      <c r="C227" t="s">
        <v>213</v>
      </c>
      <c r="E227" s="2" t="s">
        <v>236</v>
      </c>
      <c r="G227" s="2" t="s">
        <v>227</v>
      </c>
      <c r="I227" t="s">
        <v>89</v>
      </c>
    </row>
    <row r="228" spans="1:9" x14ac:dyDescent="0.3">
      <c r="A228" t="s">
        <v>211</v>
      </c>
      <c r="C228" t="s">
        <v>1467</v>
      </c>
      <c r="E228" s="2" t="s">
        <v>237</v>
      </c>
      <c r="G228" s="2" t="s">
        <v>228</v>
      </c>
      <c r="I228" t="s">
        <v>202</v>
      </c>
    </row>
    <row r="229" spans="1:9" x14ac:dyDescent="0.3">
      <c r="A229" t="s">
        <v>214</v>
      </c>
      <c r="E229" s="2" t="s">
        <v>2978</v>
      </c>
      <c r="G229" s="2" t="s">
        <v>89</v>
      </c>
      <c r="I229" t="s">
        <v>203</v>
      </c>
    </row>
    <row r="230" spans="1:9" x14ac:dyDescent="0.3">
      <c r="A230" t="s">
        <v>215</v>
      </c>
      <c r="C230" t="s">
        <v>3145</v>
      </c>
      <c r="E230" s="11" t="s">
        <v>240</v>
      </c>
      <c r="G230" s="2" t="s">
        <v>229</v>
      </c>
      <c r="I230" t="s">
        <v>204</v>
      </c>
    </row>
    <row r="231" spans="1:9" x14ac:dyDescent="0.3">
      <c r="A231" t="s">
        <v>216</v>
      </c>
      <c r="E231" s="11" t="s">
        <v>241</v>
      </c>
      <c r="G231" s="2" t="s">
        <v>230</v>
      </c>
      <c r="I231" t="s">
        <v>205</v>
      </c>
    </row>
    <row r="232" spans="1:9" x14ac:dyDescent="0.3">
      <c r="A232" t="s">
        <v>217</v>
      </c>
      <c r="C232" t="s">
        <v>207</v>
      </c>
      <c r="E232" s="2" t="s">
        <v>242</v>
      </c>
      <c r="G232" s="2" t="s">
        <v>231</v>
      </c>
      <c r="I232" t="s">
        <v>206</v>
      </c>
    </row>
    <row r="233" spans="1:9" x14ac:dyDescent="0.3">
      <c r="A233" t="s">
        <v>218</v>
      </c>
      <c r="C233" t="s">
        <v>208</v>
      </c>
      <c r="E233" s="2" t="s">
        <v>243</v>
      </c>
      <c r="G233" s="2" t="s">
        <v>234</v>
      </c>
      <c r="I233" t="s">
        <v>207</v>
      </c>
    </row>
    <row r="234" spans="1:9" x14ac:dyDescent="0.3">
      <c r="A234" t="s">
        <v>219</v>
      </c>
      <c r="C234" t="s">
        <v>209</v>
      </c>
      <c r="E234" s="11" t="s">
        <v>244</v>
      </c>
      <c r="G234" s="2" t="s">
        <v>235</v>
      </c>
      <c r="I234" t="s">
        <v>208</v>
      </c>
    </row>
    <row r="235" spans="1:9" x14ac:dyDescent="0.3">
      <c r="A235" t="s">
        <v>220</v>
      </c>
      <c r="C235" t="s">
        <v>210</v>
      </c>
      <c r="E235" s="2" t="s">
        <v>245</v>
      </c>
      <c r="G235" s="2" t="s">
        <v>236</v>
      </c>
      <c r="I235" t="s">
        <v>209</v>
      </c>
    </row>
    <row r="236" spans="1:9" x14ac:dyDescent="0.3">
      <c r="A236" t="s">
        <v>221</v>
      </c>
      <c r="C236" t="s">
        <v>211</v>
      </c>
      <c r="E236" s="2" t="s">
        <v>246</v>
      </c>
      <c r="G236" s="2" t="s">
        <v>237</v>
      </c>
      <c r="I236" t="s">
        <v>210</v>
      </c>
    </row>
    <row r="237" spans="1:9" x14ac:dyDescent="0.3">
      <c r="A237" t="s">
        <v>222</v>
      </c>
      <c r="C237" t="s">
        <v>214</v>
      </c>
      <c r="E237" s="2" t="s">
        <v>247</v>
      </c>
      <c r="G237" s="2" t="s">
        <v>238</v>
      </c>
      <c r="I237" t="s">
        <v>211</v>
      </c>
    </row>
    <row r="238" spans="1:9" x14ac:dyDescent="0.3">
      <c r="A238" t="s">
        <v>223</v>
      </c>
      <c r="C238" t="s">
        <v>215</v>
      </c>
      <c r="E238" s="2" t="s">
        <v>248</v>
      </c>
      <c r="G238" s="2" t="s">
        <v>239</v>
      </c>
      <c r="I238" t="s">
        <v>214</v>
      </c>
    </row>
    <row r="239" spans="1:9" x14ac:dyDescent="0.3">
      <c r="A239" t="s">
        <v>224</v>
      </c>
      <c r="C239" t="s">
        <v>216</v>
      </c>
      <c r="E239" s="2" t="s">
        <v>3468</v>
      </c>
      <c r="G239" s="2" t="s">
        <v>240</v>
      </c>
      <c r="I239" t="s">
        <v>1477</v>
      </c>
    </row>
    <row r="240" spans="1:9" x14ac:dyDescent="0.3">
      <c r="A240" t="s">
        <v>225</v>
      </c>
      <c r="C240" t="s">
        <v>217</v>
      </c>
      <c r="E240" s="2" t="s">
        <v>251</v>
      </c>
      <c r="G240" s="2" t="s">
        <v>241</v>
      </c>
    </row>
    <row r="241" spans="1:9" x14ac:dyDescent="0.3">
      <c r="A241" t="s">
        <v>226</v>
      </c>
      <c r="C241" t="s">
        <v>218</v>
      </c>
      <c r="E241" s="2" t="s">
        <v>252</v>
      </c>
      <c r="G241" s="2" t="s">
        <v>242</v>
      </c>
    </row>
    <row r="242" spans="1:9" x14ac:dyDescent="0.3">
      <c r="A242" t="s">
        <v>227</v>
      </c>
      <c r="C242" t="s">
        <v>219</v>
      </c>
      <c r="E242" s="2" t="s">
        <v>1479</v>
      </c>
      <c r="G242" s="2" t="s">
        <v>243</v>
      </c>
      <c r="I242" t="s">
        <v>318</v>
      </c>
    </row>
    <row r="243" spans="1:9" x14ac:dyDescent="0.3">
      <c r="A243" t="s">
        <v>228</v>
      </c>
      <c r="C243" t="s">
        <v>220</v>
      </c>
      <c r="E243" s="2"/>
      <c r="G243" s="2" t="s">
        <v>244</v>
      </c>
      <c r="I243" t="s">
        <v>1467</v>
      </c>
    </row>
    <row r="244" spans="1:9" x14ac:dyDescent="0.3">
      <c r="A244" t="s">
        <v>89</v>
      </c>
      <c r="C244" t="s">
        <v>221</v>
      </c>
      <c r="E244" s="2"/>
      <c r="G244" s="2" t="s">
        <v>245</v>
      </c>
    </row>
    <row r="245" spans="1:9" x14ac:dyDescent="0.3">
      <c r="A245" t="s">
        <v>229</v>
      </c>
      <c r="C245" t="s">
        <v>222</v>
      </c>
      <c r="E245" s="2" t="s">
        <v>273</v>
      </c>
      <c r="G245" s="2" t="s">
        <v>246</v>
      </c>
      <c r="I245" t="s">
        <v>3150</v>
      </c>
    </row>
    <row r="246" spans="1:9" x14ac:dyDescent="0.3">
      <c r="A246" t="s">
        <v>230</v>
      </c>
      <c r="C246" t="s">
        <v>223</v>
      </c>
      <c r="E246" s="2" t="s">
        <v>1467</v>
      </c>
      <c r="G246" s="2" t="s">
        <v>247</v>
      </c>
    </row>
    <row r="247" spans="1:9" x14ac:dyDescent="0.3">
      <c r="A247" t="s">
        <v>231</v>
      </c>
      <c r="C247" t="s">
        <v>224</v>
      </c>
      <c r="E247" s="2"/>
      <c r="G247" s="2" t="s">
        <v>248</v>
      </c>
      <c r="I247" t="s">
        <v>208</v>
      </c>
    </row>
    <row r="248" spans="1:9" x14ac:dyDescent="0.3">
      <c r="A248" t="s">
        <v>234</v>
      </c>
      <c r="C248" t="s">
        <v>225</v>
      </c>
      <c r="E248" s="2" t="s">
        <v>3148</v>
      </c>
      <c r="G248" s="2" t="s">
        <v>249</v>
      </c>
      <c r="I248" t="s">
        <v>209</v>
      </c>
    </row>
    <row r="249" spans="1:9" x14ac:dyDescent="0.3">
      <c r="A249" t="s">
        <v>1478</v>
      </c>
      <c r="C249" t="s">
        <v>226</v>
      </c>
      <c r="E249" s="2"/>
      <c r="G249" s="2" t="s">
        <v>250</v>
      </c>
      <c r="I249" t="s">
        <v>210</v>
      </c>
    </row>
    <row r="250" spans="1:9" x14ac:dyDescent="0.3">
      <c r="C250" t="s">
        <v>227</v>
      </c>
      <c r="E250" s="2" t="s">
        <v>254</v>
      </c>
      <c r="G250" s="2" t="s">
        <v>251</v>
      </c>
      <c r="I250" t="s">
        <v>211</v>
      </c>
    </row>
    <row r="251" spans="1:9" x14ac:dyDescent="0.3">
      <c r="C251" t="s">
        <v>228</v>
      </c>
      <c r="E251" s="2" t="s">
        <v>257</v>
      </c>
      <c r="G251" s="2" t="s">
        <v>252</v>
      </c>
      <c r="I251" t="s">
        <v>214</v>
      </c>
    </row>
    <row r="252" spans="1:9" x14ac:dyDescent="0.3">
      <c r="A252" t="s">
        <v>338</v>
      </c>
      <c r="C252" t="s">
        <v>89</v>
      </c>
      <c r="E252" s="2" t="s">
        <v>89</v>
      </c>
      <c r="G252" s="2" t="s">
        <v>253</v>
      </c>
      <c r="I252" t="s">
        <v>215</v>
      </c>
    </row>
    <row r="253" spans="1:9" x14ac:dyDescent="0.3">
      <c r="A253" t="s">
        <v>1467</v>
      </c>
      <c r="C253" t="s">
        <v>229</v>
      </c>
      <c r="E253" s="11" t="s">
        <v>258</v>
      </c>
      <c r="G253" s="2" t="s">
        <v>3067</v>
      </c>
      <c r="I253" t="s">
        <v>216</v>
      </c>
    </row>
    <row r="254" spans="1:9" x14ac:dyDescent="0.3">
      <c r="C254" t="s">
        <v>230</v>
      </c>
      <c r="E254" s="11" t="s">
        <v>259</v>
      </c>
      <c r="G254" s="2"/>
      <c r="I254" t="s">
        <v>217</v>
      </c>
    </row>
    <row r="255" spans="1:9" x14ac:dyDescent="0.3">
      <c r="A255" t="s">
        <v>89</v>
      </c>
      <c r="C255" t="s">
        <v>231</v>
      </c>
      <c r="E255" s="2" t="s">
        <v>260</v>
      </c>
      <c r="G255" s="2"/>
      <c r="I255" t="s">
        <v>218</v>
      </c>
    </row>
    <row r="256" spans="1:9" x14ac:dyDescent="0.3">
      <c r="A256" t="s">
        <v>229</v>
      </c>
      <c r="C256" t="s">
        <v>232</v>
      </c>
      <c r="E256" s="2" t="s">
        <v>261</v>
      </c>
      <c r="G256" s="2" t="s">
        <v>192</v>
      </c>
      <c r="I256" t="s">
        <v>219</v>
      </c>
    </row>
    <row r="257" spans="1:9" x14ac:dyDescent="0.3">
      <c r="A257" t="s">
        <v>230</v>
      </c>
      <c r="E257" s="11" t="s">
        <v>262</v>
      </c>
      <c r="G257" s="2" t="s">
        <v>1467</v>
      </c>
      <c r="I257" t="s">
        <v>220</v>
      </c>
    </row>
    <row r="258" spans="1:9" x14ac:dyDescent="0.3">
      <c r="A258" t="s">
        <v>231</v>
      </c>
      <c r="E258" s="2" t="s">
        <v>263</v>
      </c>
      <c r="G258" s="2"/>
      <c r="I258" t="s">
        <v>221</v>
      </c>
    </row>
    <row r="259" spans="1:9" x14ac:dyDescent="0.3">
      <c r="A259" t="s">
        <v>234</v>
      </c>
      <c r="C259" t="s">
        <v>233</v>
      </c>
      <c r="E259" s="2" t="s">
        <v>264</v>
      </c>
      <c r="G259" s="2" t="s">
        <v>3144</v>
      </c>
      <c r="I259" t="s">
        <v>222</v>
      </c>
    </row>
    <row r="260" spans="1:9" x14ac:dyDescent="0.3">
      <c r="A260" t="s">
        <v>235</v>
      </c>
      <c r="C260" t="s">
        <v>1467</v>
      </c>
      <c r="E260" s="2" t="s">
        <v>265</v>
      </c>
      <c r="G260" s="2"/>
      <c r="I260" t="s">
        <v>223</v>
      </c>
    </row>
    <row r="261" spans="1:9" x14ac:dyDescent="0.3">
      <c r="A261" t="s">
        <v>236</v>
      </c>
      <c r="E261" s="2" t="s">
        <v>266</v>
      </c>
      <c r="G261" s="11" t="s">
        <v>248</v>
      </c>
      <c r="I261" t="s">
        <v>224</v>
      </c>
    </row>
    <row r="262" spans="1:9" x14ac:dyDescent="0.3">
      <c r="A262" t="s">
        <v>237</v>
      </c>
      <c r="C262" t="s">
        <v>3146</v>
      </c>
      <c r="E262" s="2" t="s">
        <v>2979</v>
      </c>
      <c r="G262" s="11" t="s">
        <v>249</v>
      </c>
      <c r="I262" t="s">
        <v>225</v>
      </c>
    </row>
    <row r="263" spans="1:9" x14ac:dyDescent="0.3">
      <c r="A263" t="s">
        <v>238</v>
      </c>
      <c r="E263" s="2" t="s">
        <v>269</v>
      </c>
      <c r="G263" s="2" t="s">
        <v>250</v>
      </c>
      <c r="I263" t="s">
        <v>226</v>
      </c>
    </row>
    <row r="264" spans="1:9" x14ac:dyDescent="0.3">
      <c r="A264" t="s">
        <v>239</v>
      </c>
      <c r="C264" t="s">
        <v>228</v>
      </c>
      <c r="E264" s="2" t="s">
        <v>270</v>
      </c>
      <c r="G264" s="2" t="s">
        <v>251</v>
      </c>
      <c r="I264" t="s">
        <v>227</v>
      </c>
    </row>
    <row r="265" spans="1:9" x14ac:dyDescent="0.3">
      <c r="A265" t="s">
        <v>240</v>
      </c>
      <c r="C265" t="s">
        <v>89</v>
      </c>
      <c r="E265" s="2" t="s">
        <v>2980</v>
      </c>
      <c r="G265" s="11" t="s">
        <v>252</v>
      </c>
      <c r="I265" t="s">
        <v>228</v>
      </c>
    </row>
    <row r="266" spans="1:9" x14ac:dyDescent="0.3">
      <c r="A266" t="s">
        <v>241</v>
      </c>
      <c r="C266" t="s">
        <v>229</v>
      </c>
      <c r="E266" s="2" t="s">
        <v>275</v>
      </c>
      <c r="G266" s="2" t="s">
        <v>253</v>
      </c>
      <c r="I266" t="s">
        <v>89</v>
      </c>
    </row>
    <row r="267" spans="1:9" x14ac:dyDescent="0.3">
      <c r="A267" t="s">
        <v>242</v>
      </c>
      <c r="C267" t="s">
        <v>230</v>
      </c>
      <c r="E267" s="2" t="s">
        <v>2981</v>
      </c>
      <c r="G267" s="11" t="s">
        <v>254</v>
      </c>
      <c r="I267" t="s">
        <v>229</v>
      </c>
    </row>
    <row r="268" spans="1:9" x14ac:dyDescent="0.3">
      <c r="A268" t="s">
        <v>243</v>
      </c>
      <c r="C268" t="s">
        <v>231</v>
      </c>
      <c r="E268" s="2"/>
      <c r="G268" s="2" t="s">
        <v>257</v>
      </c>
      <c r="I268" t="s">
        <v>230</v>
      </c>
    </row>
    <row r="269" spans="1:9" x14ac:dyDescent="0.3">
      <c r="A269" t="s">
        <v>244</v>
      </c>
      <c r="C269" t="s">
        <v>234</v>
      </c>
      <c r="E269" s="2"/>
      <c r="G269" s="2" t="s">
        <v>89</v>
      </c>
      <c r="I269" t="s">
        <v>231</v>
      </c>
    </row>
    <row r="270" spans="1:9" x14ac:dyDescent="0.3">
      <c r="A270" t="s">
        <v>245</v>
      </c>
      <c r="C270" t="s">
        <v>235</v>
      </c>
      <c r="E270" s="2" t="s">
        <v>295</v>
      </c>
      <c r="G270" s="2" t="s">
        <v>258</v>
      </c>
      <c r="I270" t="s">
        <v>234</v>
      </c>
    </row>
    <row r="271" spans="1:9" x14ac:dyDescent="0.3">
      <c r="A271" t="s">
        <v>246</v>
      </c>
      <c r="C271" t="s">
        <v>236</v>
      </c>
      <c r="E271" s="2" t="s">
        <v>1467</v>
      </c>
      <c r="G271" s="2" t="s">
        <v>259</v>
      </c>
      <c r="I271" t="s">
        <v>1478</v>
      </c>
    </row>
    <row r="272" spans="1:9" x14ac:dyDescent="0.3">
      <c r="A272" t="s">
        <v>247</v>
      </c>
      <c r="C272" t="s">
        <v>237</v>
      </c>
      <c r="E272" s="2"/>
      <c r="G272" s="2" t="s">
        <v>260</v>
      </c>
    </row>
    <row r="273" spans="1:9" x14ac:dyDescent="0.3">
      <c r="A273" t="s">
        <v>248</v>
      </c>
      <c r="C273" t="s">
        <v>238</v>
      </c>
      <c r="E273" s="2" t="s">
        <v>3149</v>
      </c>
      <c r="G273" s="2" t="s">
        <v>261</v>
      </c>
    </row>
    <row r="274" spans="1:9" x14ac:dyDescent="0.3">
      <c r="A274" t="s">
        <v>249</v>
      </c>
      <c r="C274" t="s">
        <v>239</v>
      </c>
      <c r="E274" s="2"/>
      <c r="G274" s="2" t="s">
        <v>262</v>
      </c>
      <c r="I274" t="s">
        <v>338</v>
      </c>
    </row>
    <row r="275" spans="1:9" x14ac:dyDescent="0.3">
      <c r="A275" t="s">
        <v>250</v>
      </c>
      <c r="C275" t="s">
        <v>240</v>
      </c>
      <c r="E275" s="2" t="s">
        <v>2982</v>
      </c>
      <c r="G275" s="2" t="s">
        <v>263</v>
      </c>
      <c r="I275" t="s">
        <v>1467</v>
      </c>
    </row>
    <row r="276" spans="1:9" x14ac:dyDescent="0.3">
      <c r="A276" t="s">
        <v>251</v>
      </c>
      <c r="C276" t="s">
        <v>241</v>
      </c>
      <c r="E276" s="2" t="s">
        <v>277</v>
      </c>
      <c r="G276" s="2" t="s">
        <v>264</v>
      </c>
    </row>
    <row r="277" spans="1:9" x14ac:dyDescent="0.3">
      <c r="A277" t="s">
        <v>252</v>
      </c>
      <c r="C277" t="s">
        <v>242</v>
      </c>
      <c r="E277" s="2" t="s">
        <v>2983</v>
      </c>
      <c r="G277" s="2" t="s">
        <v>265</v>
      </c>
      <c r="I277" t="s">
        <v>3151</v>
      </c>
    </row>
    <row r="278" spans="1:9" x14ac:dyDescent="0.3">
      <c r="A278" t="s">
        <v>1479</v>
      </c>
      <c r="C278" t="s">
        <v>243</v>
      </c>
      <c r="E278" s="11" t="s">
        <v>2984</v>
      </c>
      <c r="G278" s="2" t="s">
        <v>266</v>
      </c>
    </row>
    <row r="279" spans="1:9" x14ac:dyDescent="0.3">
      <c r="C279" t="s">
        <v>244</v>
      </c>
      <c r="E279" s="11" t="s">
        <v>281</v>
      </c>
      <c r="G279" s="2" t="s">
        <v>267</v>
      </c>
      <c r="I279" t="s">
        <v>89</v>
      </c>
    </row>
    <row r="280" spans="1:9" x14ac:dyDescent="0.3">
      <c r="C280" t="s">
        <v>245</v>
      </c>
      <c r="E280" s="2" t="s">
        <v>282</v>
      </c>
      <c r="G280" s="2" t="s">
        <v>268</v>
      </c>
      <c r="I280" t="s">
        <v>229</v>
      </c>
    </row>
    <row r="281" spans="1:9" x14ac:dyDescent="0.3">
      <c r="A281" t="s">
        <v>362</v>
      </c>
      <c r="C281" t="s">
        <v>246</v>
      </c>
      <c r="E281" s="2" t="s">
        <v>2985</v>
      </c>
      <c r="G281" s="2" t="s">
        <v>269</v>
      </c>
      <c r="I281" t="s">
        <v>230</v>
      </c>
    </row>
    <row r="282" spans="1:9" x14ac:dyDescent="0.3">
      <c r="A282" t="s">
        <v>1467</v>
      </c>
      <c r="C282" t="s">
        <v>247</v>
      </c>
      <c r="E282" s="11" t="s">
        <v>284</v>
      </c>
      <c r="G282" s="2" t="s">
        <v>270</v>
      </c>
      <c r="I282" t="s">
        <v>231</v>
      </c>
    </row>
    <row r="283" spans="1:9" x14ac:dyDescent="0.3">
      <c r="C283" t="s">
        <v>248</v>
      </c>
      <c r="E283" s="2" t="s">
        <v>285</v>
      </c>
      <c r="G283" s="2" t="s">
        <v>271</v>
      </c>
      <c r="I283" t="s">
        <v>234</v>
      </c>
    </row>
    <row r="284" spans="1:9" x14ac:dyDescent="0.3">
      <c r="A284" t="s">
        <v>254</v>
      </c>
      <c r="C284" t="s">
        <v>249</v>
      </c>
      <c r="E284" s="2" t="s">
        <v>286</v>
      </c>
      <c r="G284" s="2" t="s">
        <v>274</v>
      </c>
      <c r="I284" t="s">
        <v>235</v>
      </c>
    </row>
    <row r="285" spans="1:9" x14ac:dyDescent="0.3">
      <c r="A285" t="s">
        <v>257</v>
      </c>
      <c r="C285" t="s">
        <v>250</v>
      </c>
      <c r="E285" s="2" t="s">
        <v>287</v>
      </c>
      <c r="G285" s="2" t="s">
        <v>275</v>
      </c>
      <c r="I285" t="s">
        <v>236</v>
      </c>
    </row>
    <row r="286" spans="1:9" x14ac:dyDescent="0.3">
      <c r="A286" t="s">
        <v>89</v>
      </c>
      <c r="C286" t="s">
        <v>251</v>
      </c>
      <c r="E286" s="2" t="s">
        <v>288</v>
      </c>
      <c r="G286" s="2" t="s">
        <v>276</v>
      </c>
      <c r="I286" t="s">
        <v>237</v>
      </c>
    </row>
    <row r="287" spans="1:9" x14ac:dyDescent="0.3">
      <c r="A287" t="s">
        <v>258</v>
      </c>
      <c r="C287" t="s">
        <v>252</v>
      </c>
      <c r="E287" s="2" t="s">
        <v>289</v>
      </c>
      <c r="G287" s="2" t="s">
        <v>277</v>
      </c>
      <c r="I287" t="s">
        <v>238</v>
      </c>
    </row>
    <row r="288" spans="1:9" x14ac:dyDescent="0.3">
      <c r="A288" t="s">
        <v>259</v>
      </c>
      <c r="C288" t="s">
        <v>253</v>
      </c>
      <c r="E288" s="2" t="s">
        <v>290</v>
      </c>
      <c r="G288" s="2" t="s">
        <v>278</v>
      </c>
      <c r="I288" t="s">
        <v>239</v>
      </c>
    </row>
    <row r="289" spans="1:9" x14ac:dyDescent="0.3">
      <c r="A289" t="s">
        <v>260</v>
      </c>
      <c r="C289" t="s">
        <v>254</v>
      </c>
      <c r="E289" s="2" t="s">
        <v>291</v>
      </c>
      <c r="G289" s="2" t="s">
        <v>279</v>
      </c>
      <c r="I289" t="s">
        <v>240</v>
      </c>
    </row>
    <row r="290" spans="1:9" x14ac:dyDescent="0.3">
      <c r="A290" t="s">
        <v>261</v>
      </c>
      <c r="C290" t="s">
        <v>255</v>
      </c>
      <c r="E290" s="2" t="s">
        <v>3469</v>
      </c>
      <c r="G290" s="2" t="s">
        <v>280</v>
      </c>
      <c r="I290" t="s">
        <v>241</v>
      </c>
    </row>
    <row r="291" spans="1:9" x14ac:dyDescent="0.3">
      <c r="A291" t="s">
        <v>262</v>
      </c>
      <c r="E291" s="2" t="s">
        <v>296</v>
      </c>
      <c r="G291" s="2" t="s">
        <v>268</v>
      </c>
      <c r="I291" t="s">
        <v>242</v>
      </c>
    </row>
    <row r="292" spans="1:9" x14ac:dyDescent="0.3">
      <c r="A292" t="s">
        <v>263</v>
      </c>
      <c r="E292" s="2" t="s">
        <v>297</v>
      </c>
      <c r="G292" s="2" t="s">
        <v>281</v>
      </c>
      <c r="I292" t="s">
        <v>243</v>
      </c>
    </row>
    <row r="293" spans="1:9" x14ac:dyDescent="0.3">
      <c r="A293" t="s">
        <v>264</v>
      </c>
      <c r="C293" t="s">
        <v>256</v>
      </c>
      <c r="E293" s="2" t="s">
        <v>2986</v>
      </c>
      <c r="G293" s="2" t="s">
        <v>282</v>
      </c>
      <c r="I293" t="s">
        <v>244</v>
      </c>
    </row>
    <row r="294" spans="1:9" x14ac:dyDescent="0.3">
      <c r="A294" t="s">
        <v>265</v>
      </c>
      <c r="C294" t="s">
        <v>1467</v>
      </c>
      <c r="E294" s="2" t="s">
        <v>1481</v>
      </c>
      <c r="G294" s="2" t="s">
        <v>283</v>
      </c>
      <c r="I294" t="s">
        <v>245</v>
      </c>
    </row>
    <row r="295" spans="1:9" x14ac:dyDescent="0.3">
      <c r="A295" t="s">
        <v>266</v>
      </c>
      <c r="E295" s="2"/>
      <c r="G295" s="2" t="s">
        <v>89</v>
      </c>
      <c r="I295" t="s">
        <v>246</v>
      </c>
    </row>
    <row r="296" spans="1:9" x14ac:dyDescent="0.3">
      <c r="A296" t="s">
        <v>267</v>
      </c>
      <c r="C296" t="s">
        <v>3147</v>
      </c>
      <c r="E296" s="2"/>
      <c r="G296" s="2" t="s">
        <v>284</v>
      </c>
      <c r="I296" t="s">
        <v>247</v>
      </c>
    </row>
    <row r="297" spans="1:9" x14ac:dyDescent="0.3">
      <c r="A297" t="s">
        <v>268</v>
      </c>
      <c r="E297" s="2" t="s">
        <v>318</v>
      </c>
      <c r="G297" s="2" t="s">
        <v>3068</v>
      </c>
      <c r="I297" t="s">
        <v>248</v>
      </c>
    </row>
    <row r="298" spans="1:9" x14ac:dyDescent="0.3">
      <c r="A298" t="s">
        <v>269</v>
      </c>
      <c r="C298" t="s">
        <v>250</v>
      </c>
      <c r="E298" s="2" t="s">
        <v>1467</v>
      </c>
      <c r="G298" s="2"/>
      <c r="I298" t="s">
        <v>249</v>
      </c>
    </row>
    <row r="299" spans="1:9" x14ac:dyDescent="0.3">
      <c r="A299" t="s">
        <v>270</v>
      </c>
      <c r="C299" t="s">
        <v>251</v>
      </c>
      <c r="E299" s="2"/>
      <c r="G299" s="2"/>
      <c r="I299" t="s">
        <v>250</v>
      </c>
    </row>
    <row r="300" spans="1:9" x14ac:dyDescent="0.3">
      <c r="A300" t="s">
        <v>271</v>
      </c>
      <c r="C300" t="s">
        <v>252</v>
      </c>
      <c r="E300" s="11" t="s">
        <v>3150</v>
      </c>
      <c r="G300" s="2" t="s">
        <v>213</v>
      </c>
      <c r="I300" t="s">
        <v>251</v>
      </c>
    </row>
    <row r="301" spans="1:9" x14ac:dyDescent="0.3">
      <c r="A301" t="s">
        <v>274</v>
      </c>
      <c r="C301" t="s">
        <v>253</v>
      </c>
      <c r="E301" s="11"/>
      <c r="G301" s="2" t="s">
        <v>1467</v>
      </c>
      <c r="I301" t="s">
        <v>252</v>
      </c>
    </row>
    <row r="302" spans="1:9" x14ac:dyDescent="0.3">
      <c r="A302" t="s">
        <v>275</v>
      </c>
      <c r="C302" t="s">
        <v>254</v>
      </c>
      <c r="E302" s="2" t="s">
        <v>302</v>
      </c>
      <c r="G302" s="2"/>
      <c r="I302" t="s">
        <v>1479</v>
      </c>
    </row>
    <row r="303" spans="1:9" x14ac:dyDescent="0.3">
      <c r="A303" t="s">
        <v>276</v>
      </c>
      <c r="C303" t="s">
        <v>257</v>
      </c>
      <c r="E303" s="2" t="s">
        <v>303</v>
      </c>
      <c r="G303" s="2" t="s">
        <v>3145</v>
      </c>
    </row>
    <row r="304" spans="1:9" x14ac:dyDescent="0.3">
      <c r="A304" t="s">
        <v>277</v>
      </c>
      <c r="C304" t="s">
        <v>89</v>
      </c>
      <c r="E304" s="11" t="s">
        <v>304</v>
      </c>
      <c r="G304" s="2"/>
    </row>
    <row r="305" spans="1:9" x14ac:dyDescent="0.3">
      <c r="A305" t="s">
        <v>1480</v>
      </c>
      <c r="C305" t="s">
        <v>258</v>
      </c>
      <c r="E305" s="2" t="s">
        <v>2987</v>
      </c>
      <c r="G305" s="11" t="s">
        <v>280</v>
      </c>
      <c r="I305" t="s">
        <v>362</v>
      </c>
    </row>
    <row r="306" spans="1:9" x14ac:dyDescent="0.3">
      <c r="C306" t="s">
        <v>259</v>
      </c>
      <c r="E306" s="2" t="s">
        <v>308</v>
      </c>
      <c r="G306" s="11" t="s">
        <v>268</v>
      </c>
      <c r="I306" t="s">
        <v>1467</v>
      </c>
    </row>
    <row r="307" spans="1:9" x14ac:dyDescent="0.3">
      <c r="C307" t="s">
        <v>260</v>
      </c>
      <c r="E307" s="2" t="s">
        <v>2988</v>
      </c>
      <c r="G307" s="2" t="s">
        <v>281</v>
      </c>
    </row>
    <row r="308" spans="1:9" x14ac:dyDescent="0.3">
      <c r="A308" t="s">
        <v>380</v>
      </c>
      <c r="C308" t="s">
        <v>261</v>
      </c>
      <c r="E308" s="2" t="s">
        <v>89</v>
      </c>
      <c r="G308" s="2" t="s">
        <v>282</v>
      </c>
      <c r="I308" t="s">
        <v>3152</v>
      </c>
    </row>
    <row r="309" spans="1:9" x14ac:dyDescent="0.3">
      <c r="A309" t="s">
        <v>1467</v>
      </c>
      <c r="C309" t="s">
        <v>262</v>
      </c>
      <c r="E309" s="2" t="s">
        <v>311</v>
      </c>
      <c r="G309" s="11" t="s">
        <v>283</v>
      </c>
    </row>
    <row r="310" spans="1:9" x14ac:dyDescent="0.3">
      <c r="C310" t="s">
        <v>263</v>
      </c>
      <c r="E310" s="2" t="s">
        <v>312</v>
      </c>
      <c r="G310" s="2" t="s">
        <v>89</v>
      </c>
      <c r="I310" t="s">
        <v>254</v>
      </c>
    </row>
    <row r="311" spans="1:9" x14ac:dyDescent="0.3">
      <c r="A311" t="s">
        <v>279</v>
      </c>
      <c r="C311" t="s">
        <v>264</v>
      </c>
      <c r="E311" s="2" t="s">
        <v>313</v>
      </c>
      <c r="G311" s="11" t="s">
        <v>284</v>
      </c>
      <c r="I311" t="s">
        <v>257</v>
      </c>
    </row>
    <row r="312" spans="1:9" x14ac:dyDescent="0.3">
      <c r="A312" t="s">
        <v>280</v>
      </c>
      <c r="C312" t="s">
        <v>265</v>
      </c>
      <c r="E312" s="2" t="s">
        <v>2989</v>
      </c>
      <c r="G312" s="2" t="s">
        <v>285</v>
      </c>
      <c r="I312" t="s">
        <v>89</v>
      </c>
    </row>
    <row r="313" spans="1:9" x14ac:dyDescent="0.3">
      <c r="A313" t="s">
        <v>268</v>
      </c>
      <c r="C313" t="s">
        <v>266</v>
      </c>
      <c r="E313" s="2" t="s">
        <v>316</v>
      </c>
      <c r="G313" s="2" t="s">
        <v>286</v>
      </c>
      <c r="I313" t="s">
        <v>258</v>
      </c>
    </row>
    <row r="314" spans="1:9" x14ac:dyDescent="0.3">
      <c r="A314" t="s">
        <v>281</v>
      </c>
      <c r="C314" t="s">
        <v>267</v>
      </c>
      <c r="E314" s="2" t="s">
        <v>319</v>
      </c>
      <c r="G314" s="2" t="s">
        <v>287</v>
      </c>
      <c r="I314" t="s">
        <v>259</v>
      </c>
    </row>
    <row r="315" spans="1:9" x14ac:dyDescent="0.3">
      <c r="A315" t="s">
        <v>282</v>
      </c>
      <c r="C315" t="s">
        <v>268</v>
      </c>
      <c r="E315" s="2" t="s">
        <v>2990</v>
      </c>
      <c r="G315" s="2" t="s">
        <v>288</v>
      </c>
      <c r="I315" t="s">
        <v>260</v>
      </c>
    </row>
    <row r="316" spans="1:9" x14ac:dyDescent="0.3">
      <c r="A316" t="s">
        <v>283</v>
      </c>
      <c r="C316" t="s">
        <v>269</v>
      </c>
      <c r="E316" s="2" t="s">
        <v>322</v>
      </c>
      <c r="G316" s="2" t="s">
        <v>289</v>
      </c>
      <c r="I316" t="s">
        <v>261</v>
      </c>
    </row>
    <row r="317" spans="1:9" x14ac:dyDescent="0.3">
      <c r="A317" t="s">
        <v>725</v>
      </c>
      <c r="C317" t="s">
        <v>270</v>
      </c>
      <c r="E317" s="2" t="s">
        <v>323</v>
      </c>
      <c r="G317" s="2" t="s">
        <v>290</v>
      </c>
      <c r="I317" t="s">
        <v>262</v>
      </c>
    </row>
    <row r="318" spans="1:9" x14ac:dyDescent="0.3">
      <c r="C318" t="s">
        <v>271</v>
      </c>
      <c r="E318" s="2" t="s">
        <v>2991</v>
      </c>
      <c r="G318" s="2" t="s">
        <v>291</v>
      </c>
      <c r="I318" t="s">
        <v>263</v>
      </c>
    </row>
    <row r="319" spans="1:9" x14ac:dyDescent="0.3">
      <c r="C319" t="s">
        <v>272</v>
      </c>
      <c r="E319" s="2"/>
      <c r="G319" s="2" t="s">
        <v>292</v>
      </c>
      <c r="I319" t="s">
        <v>264</v>
      </c>
    </row>
    <row r="320" spans="1:9" x14ac:dyDescent="0.3">
      <c r="A320" t="s">
        <v>400</v>
      </c>
      <c r="E320" s="2"/>
      <c r="G320" s="2" t="s">
        <v>293</v>
      </c>
      <c r="I320" t="s">
        <v>265</v>
      </c>
    </row>
    <row r="321" spans="1:9" x14ac:dyDescent="0.3">
      <c r="A321" t="s">
        <v>1467</v>
      </c>
      <c r="E321" s="2" t="s">
        <v>338</v>
      </c>
      <c r="G321" s="2" t="s">
        <v>296</v>
      </c>
      <c r="I321" t="s">
        <v>266</v>
      </c>
    </row>
    <row r="322" spans="1:9" x14ac:dyDescent="0.3">
      <c r="C322" t="s">
        <v>273</v>
      </c>
      <c r="E322" s="11" t="s">
        <v>1467</v>
      </c>
      <c r="G322" s="2" t="s">
        <v>297</v>
      </c>
      <c r="I322" t="s">
        <v>267</v>
      </c>
    </row>
    <row r="323" spans="1:9" x14ac:dyDescent="0.3">
      <c r="A323" t="s">
        <v>284</v>
      </c>
      <c r="C323" t="s">
        <v>1467</v>
      </c>
      <c r="E323" s="11"/>
      <c r="G323" s="2" t="s">
        <v>298</v>
      </c>
      <c r="I323" t="s">
        <v>268</v>
      </c>
    </row>
    <row r="324" spans="1:9" x14ac:dyDescent="0.3">
      <c r="A324" t="s">
        <v>285</v>
      </c>
      <c r="E324" s="2" t="s">
        <v>3151</v>
      </c>
      <c r="G324" s="2" t="s">
        <v>299</v>
      </c>
      <c r="I324" t="s">
        <v>269</v>
      </c>
    </row>
    <row r="325" spans="1:9" x14ac:dyDescent="0.3">
      <c r="A325" t="s">
        <v>286</v>
      </c>
      <c r="C325" t="s">
        <v>3148</v>
      </c>
      <c r="E325" s="2"/>
      <c r="G325" s="2" t="s">
        <v>300</v>
      </c>
      <c r="I325" t="s">
        <v>270</v>
      </c>
    </row>
    <row r="326" spans="1:9" x14ac:dyDescent="0.3">
      <c r="A326" t="s">
        <v>287</v>
      </c>
      <c r="E326" s="11" t="s">
        <v>325</v>
      </c>
      <c r="G326" s="2" t="s">
        <v>301</v>
      </c>
      <c r="I326" t="s">
        <v>271</v>
      </c>
    </row>
    <row r="327" spans="1:9" x14ac:dyDescent="0.3">
      <c r="A327" t="s">
        <v>288</v>
      </c>
      <c r="C327" t="s">
        <v>267</v>
      </c>
      <c r="E327" s="2" t="s">
        <v>326</v>
      </c>
      <c r="G327" s="2" t="s">
        <v>302</v>
      </c>
      <c r="I327" t="s">
        <v>274</v>
      </c>
    </row>
    <row r="328" spans="1:9" x14ac:dyDescent="0.3">
      <c r="A328" t="s">
        <v>289</v>
      </c>
      <c r="C328" t="s">
        <v>268</v>
      </c>
      <c r="E328" s="2" t="s">
        <v>2992</v>
      </c>
      <c r="G328" s="2" t="s">
        <v>303</v>
      </c>
      <c r="I328" t="s">
        <v>275</v>
      </c>
    </row>
    <row r="329" spans="1:9" x14ac:dyDescent="0.3">
      <c r="A329" t="s">
        <v>290</v>
      </c>
      <c r="C329" t="s">
        <v>269</v>
      </c>
      <c r="E329" s="2" t="s">
        <v>329</v>
      </c>
      <c r="G329" s="2" t="s">
        <v>304</v>
      </c>
      <c r="I329" t="s">
        <v>276</v>
      </c>
    </row>
    <row r="330" spans="1:9" x14ac:dyDescent="0.3">
      <c r="A330" t="s">
        <v>291</v>
      </c>
      <c r="C330" t="s">
        <v>270</v>
      </c>
      <c r="E330" s="2" t="s">
        <v>330</v>
      </c>
      <c r="G330" s="2" t="s">
        <v>305</v>
      </c>
      <c r="I330" t="s">
        <v>277</v>
      </c>
    </row>
    <row r="331" spans="1:9" x14ac:dyDescent="0.3">
      <c r="A331" t="s">
        <v>292</v>
      </c>
      <c r="C331" t="s">
        <v>271</v>
      </c>
      <c r="E331" s="2" t="s">
        <v>2993</v>
      </c>
      <c r="G331" s="2" t="s">
        <v>306</v>
      </c>
      <c r="I331" t="s">
        <v>1480</v>
      </c>
    </row>
    <row r="332" spans="1:9" x14ac:dyDescent="0.3">
      <c r="A332" t="s">
        <v>293</v>
      </c>
      <c r="C332" t="s">
        <v>274</v>
      </c>
      <c r="E332" s="2" t="s">
        <v>333</v>
      </c>
      <c r="G332" s="2" t="s">
        <v>307</v>
      </c>
    </row>
    <row r="333" spans="1:9" x14ac:dyDescent="0.3">
      <c r="A333" t="s">
        <v>296</v>
      </c>
      <c r="C333" t="s">
        <v>275</v>
      </c>
      <c r="E333" s="2" t="s">
        <v>334</v>
      </c>
      <c r="G333" s="2" t="s">
        <v>308</v>
      </c>
    </row>
    <row r="334" spans="1:9" x14ac:dyDescent="0.3">
      <c r="A334" t="s">
        <v>297</v>
      </c>
      <c r="C334" t="s">
        <v>276</v>
      </c>
      <c r="E334" s="2" t="s">
        <v>335</v>
      </c>
      <c r="G334" s="2" t="s">
        <v>309</v>
      </c>
      <c r="I334" t="s">
        <v>380</v>
      </c>
    </row>
    <row r="335" spans="1:9" x14ac:dyDescent="0.3">
      <c r="A335" t="s">
        <v>298</v>
      </c>
      <c r="C335" t="s">
        <v>277</v>
      </c>
      <c r="E335" s="2" t="s">
        <v>3470</v>
      </c>
      <c r="G335" s="2" t="s">
        <v>310</v>
      </c>
      <c r="I335" t="s">
        <v>1467</v>
      </c>
    </row>
    <row r="336" spans="1:9" x14ac:dyDescent="0.3">
      <c r="A336" t="s">
        <v>299</v>
      </c>
      <c r="C336" t="s">
        <v>278</v>
      </c>
      <c r="E336" s="2" t="s">
        <v>89</v>
      </c>
      <c r="G336" s="2" t="s">
        <v>89</v>
      </c>
    </row>
    <row r="337" spans="1:9" x14ac:dyDescent="0.3">
      <c r="A337" t="s">
        <v>300</v>
      </c>
      <c r="C337" t="s">
        <v>279</v>
      </c>
      <c r="E337" s="2" t="s">
        <v>2994</v>
      </c>
      <c r="G337" s="2" t="s">
        <v>311</v>
      </c>
      <c r="I337" t="s">
        <v>3153</v>
      </c>
    </row>
    <row r="338" spans="1:9" x14ac:dyDescent="0.3">
      <c r="A338" t="s">
        <v>1481</v>
      </c>
      <c r="C338" t="s">
        <v>280</v>
      </c>
      <c r="E338" s="2" t="s">
        <v>2995</v>
      </c>
      <c r="G338" s="2" t="s">
        <v>312</v>
      </c>
    </row>
    <row r="339" spans="1:9" x14ac:dyDescent="0.3">
      <c r="C339" t="s">
        <v>268</v>
      </c>
      <c r="E339" s="2" t="s">
        <v>2996</v>
      </c>
      <c r="G339" s="2" t="s">
        <v>313</v>
      </c>
      <c r="I339" t="s">
        <v>279</v>
      </c>
    </row>
    <row r="340" spans="1:9" x14ac:dyDescent="0.3">
      <c r="C340" t="s">
        <v>281</v>
      </c>
      <c r="E340" s="2" t="s">
        <v>346</v>
      </c>
      <c r="G340" s="2" t="s">
        <v>314</v>
      </c>
      <c r="I340" t="s">
        <v>280</v>
      </c>
    </row>
    <row r="341" spans="1:9" x14ac:dyDescent="0.3">
      <c r="A341" t="s">
        <v>421</v>
      </c>
      <c r="C341" t="s">
        <v>282</v>
      </c>
      <c r="E341" s="2" t="s">
        <v>347</v>
      </c>
      <c r="G341" s="2" t="s">
        <v>315</v>
      </c>
      <c r="I341" t="s">
        <v>268</v>
      </c>
    </row>
    <row r="342" spans="1:9" x14ac:dyDescent="0.3">
      <c r="A342" t="s">
        <v>1467</v>
      </c>
      <c r="C342" t="s">
        <v>283</v>
      </c>
      <c r="E342" s="2" t="s">
        <v>2997</v>
      </c>
      <c r="G342" s="2" t="s">
        <v>316</v>
      </c>
      <c r="I342" t="s">
        <v>281</v>
      </c>
    </row>
    <row r="343" spans="1:9" x14ac:dyDescent="0.3">
      <c r="C343" t="s">
        <v>89</v>
      </c>
      <c r="E343" s="2"/>
      <c r="G343" s="2" t="s">
        <v>317</v>
      </c>
      <c r="I343" t="s">
        <v>282</v>
      </c>
    </row>
    <row r="344" spans="1:9" x14ac:dyDescent="0.3">
      <c r="A344" t="s">
        <v>302</v>
      </c>
      <c r="C344" t="s">
        <v>284</v>
      </c>
      <c r="E344" s="2"/>
      <c r="G344" s="2"/>
      <c r="I344" t="s">
        <v>283</v>
      </c>
    </row>
    <row r="345" spans="1:9" x14ac:dyDescent="0.3">
      <c r="A345" t="s">
        <v>303</v>
      </c>
      <c r="C345" t="s">
        <v>285</v>
      </c>
      <c r="E345" s="2" t="s">
        <v>362</v>
      </c>
      <c r="G345" s="2"/>
      <c r="I345" t="s">
        <v>725</v>
      </c>
    </row>
    <row r="346" spans="1:9" x14ac:dyDescent="0.3">
      <c r="A346" t="s">
        <v>304</v>
      </c>
      <c r="C346" t="s">
        <v>286</v>
      </c>
      <c r="E346" s="11" t="s">
        <v>1467</v>
      </c>
      <c r="G346" s="2" t="s">
        <v>233</v>
      </c>
    </row>
    <row r="347" spans="1:9" x14ac:dyDescent="0.3">
      <c r="A347" t="s">
        <v>305</v>
      </c>
      <c r="C347" t="s">
        <v>287</v>
      </c>
      <c r="E347" s="11"/>
      <c r="G347" s="2" t="s">
        <v>1467</v>
      </c>
    </row>
    <row r="348" spans="1:9" x14ac:dyDescent="0.3">
      <c r="A348" t="s">
        <v>306</v>
      </c>
      <c r="C348" t="s">
        <v>288</v>
      </c>
      <c r="E348" s="2" t="s">
        <v>3152</v>
      </c>
      <c r="G348" s="2"/>
      <c r="I348" t="s">
        <v>400</v>
      </c>
    </row>
    <row r="349" spans="1:9" x14ac:dyDescent="0.3">
      <c r="A349" t="s">
        <v>307</v>
      </c>
      <c r="C349" t="s">
        <v>289</v>
      </c>
      <c r="E349" s="2"/>
      <c r="G349" s="2" t="s">
        <v>3146</v>
      </c>
      <c r="I349" t="s">
        <v>1467</v>
      </c>
    </row>
    <row r="350" spans="1:9" x14ac:dyDescent="0.3">
      <c r="A350" t="s">
        <v>308</v>
      </c>
      <c r="C350" t="s">
        <v>290</v>
      </c>
      <c r="E350" s="11" t="s">
        <v>349</v>
      </c>
      <c r="G350" s="2"/>
    </row>
    <row r="351" spans="1:9" x14ac:dyDescent="0.3">
      <c r="A351" t="s">
        <v>309</v>
      </c>
      <c r="C351" t="s">
        <v>291</v>
      </c>
      <c r="E351" s="2" t="s">
        <v>350</v>
      </c>
      <c r="G351" s="11" t="s">
        <v>311</v>
      </c>
      <c r="I351" t="s">
        <v>3154</v>
      </c>
    </row>
    <row r="352" spans="1:9" x14ac:dyDescent="0.3">
      <c r="A352" t="s">
        <v>310</v>
      </c>
      <c r="C352" t="s">
        <v>292</v>
      </c>
      <c r="E352" s="2" t="s">
        <v>2998</v>
      </c>
      <c r="G352" s="11" t="s">
        <v>312</v>
      </c>
    </row>
    <row r="353" spans="1:9" x14ac:dyDescent="0.3">
      <c r="A353" t="s">
        <v>89</v>
      </c>
      <c r="C353" t="s">
        <v>293</v>
      </c>
      <c r="E353" s="2" t="s">
        <v>353</v>
      </c>
      <c r="G353" s="2" t="s">
        <v>313</v>
      </c>
      <c r="I353" t="s">
        <v>284</v>
      </c>
    </row>
    <row r="354" spans="1:9" x14ac:dyDescent="0.3">
      <c r="A354" t="s">
        <v>311</v>
      </c>
      <c r="C354" t="s">
        <v>294</v>
      </c>
      <c r="E354" s="2" t="s">
        <v>354</v>
      </c>
      <c r="G354" s="2" t="s">
        <v>314</v>
      </c>
      <c r="I354" t="s">
        <v>285</v>
      </c>
    </row>
    <row r="355" spans="1:9" x14ac:dyDescent="0.3">
      <c r="A355" t="s">
        <v>312</v>
      </c>
      <c r="E355" s="2" t="s">
        <v>3471</v>
      </c>
      <c r="G355" s="11" t="s">
        <v>315</v>
      </c>
      <c r="I355" t="s">
        <v>286</v>
      </c>
    </row>
    <row r="356" spans="1:9" x14ac:dyDescent="0.3">
      <c r="A356" t="s">
        <v>313</v>
      </c>
      <c r="E356" s="2" t="s">
        <v>357</v>
      </c>
      <c r="G356" s="2" t="s">
        <v>316</v>
      </c>
      <c r="I356" t="s">
        <v>287</v>
      </c>
    </row>
    <row r="357" spans="1:9" x14ac:dyDescent="0.3">
      <c r="A357" t="s">
        <v>314</v>
      </c>
      <c r="C357" t="s">
        <v>295</v>
      </c>
      <c r="E357" s="2" t="s">
        <v>2999</v>
      </c>
      <c r="G357" s="11" t="s">
        <v>319</v>
      </c>
      <c r="I357" t="s">
        <v>288</v>
      </c>
    </row>
    <row r="358" spans="1:9" x14ac:dyDescent="0.3">
      <c r="A358" t="s">
        <v>315</v>
      </c>
      <c r="C358" t="s">
        <v>1467</v>
      </c>
      <c r="E358" s="2" t="s">
        <v>360</v>
      </c>
      <c r="G358" s="2" t="s">
        <v>320</v>
      </c>
      <c r="I358" t="s">
        <v>289</v>
      </c>
    </row>
    <row r="359" spans="1:9" x14ac:dyDescent="0.3">
      <c r="A359" t="s">
        <v>316</v>
      </c>
      <c r="E359" s="2" t="s">
        <v>363</v>
      </c>
      <c r="G359" s="2" t="s">
        <v>321</v>
      </c>
      <c r="I359" t="s">
        <v>290</v>
      </c>
    </row>
    <row r="360" spans="1:9" x14ac:dyDescent="0.3">
      <c r="A360" t="s">
        <v>319</v>
      </c>
      <c r="C360" t="s">
        <v>3149</v>
      </c>
      <c r="E360" s="2" t="s">
        <v>364</v>
      </c>
      <c r="G360" s="2" t="s">
        <v>322</v>
      </c>
      <c r="I360" t="s">
        <v>291</v>
      </c>
    </row>
    <row r="361" spans="1:9" x14ac:dyDescent="0.3">
      <c r="A361" t="s">
        <v>1482</v>
      </c>
      <c r="E361" s="2" t="s">
        <v>365</v>
      </c>
      <c r="G361" s="2" t="s">
        <v>323</v>
      </c>
      <c r="I361" t="s">
        <v>292</v>
      </c>
    </row>
    <row r="362" spans="1:9" x14ac:dyDescent="0.3">
      <c r="C362" t="s">
        <v>290</v>
      </c>
      <c r="E362" s="2" t="s">
        <v>366</v>
      </c>
      <c r="G362" s="2" t="s">
        <v>324</v>
      </c>
      <c r="I362" t="s">
        <v>293</v>
      </c>
    </row>
    <row r="363" spans="1:9" x14ac:dyDescent="0.3">
      <c r="C363" t="s">
        <v>291</v>
      </c>
      <c r="E363" s="2" t="s">
        <v>89</v>
      </c>
      <c r="G363" s="2" t="s">
        <v>325</v>
      </c>
      <c r="I363" t="s">
        <v>296</v>
      </c>
    </row>
    <row r="364" spans="1:9" x14ac:dyDescent="0.3">
      <c r="A364" t="s">
        <v>441</v>
      </c>
      <c r="C364" t="s">
        <v>292</v>
      </c>
      <c r="E364" s="2" t="s">
        <v>3000</v>
      </c>
      <c r="G364" s="2" t="s">
        <v>326</v>
      </c>
      <c r="I364" t="s">
        <v>297</v>
      </c>
    </row>
    <row r="365" spans="1:9" x14ac:dyDescent="0.3">
      <c r="A365" t="s">
        <v>1467</v>
      </c>
      <c r="C365" t="s">
        <v>293</v>
      </c>
      <c r="E365" s="2" t="s">
        <v>369</v>
      </c>
      <c r="G365" s="2" t="s">
        <v>327</v>
      </c>
      <c r="I365" t="s">
        <v>298</v>
      </c>
    </row>
    <row r="366" spans="1:9" x14ac:dyDescent="0.3">
      <c r="C366" t="s">
        <v>296</v>
      </c>
      <c r="E366" s="2" t="s">
        <v>370</v>
      </c>
      <c r="G366" s="2" t="s">
        <v>328</v>
      </c>
      <c r="I366" t="s">
        <v>299</v>
      </c>
    </row>
    <row r="367" spans="1:9" x14ac:dyDescent="0.3">
      <c r="A367" t="s">
        <v>321</v>
      </c>
      <c r="C367" t="s">
        <v>297</v>
      </c>
      <c r="E367" s="11" t="s">
        <v>371</v>
      </c>
      <c r="G367" s="2" t="s">
        <v>329</v>
      </c>
      <c r="I367" t="s">
        <v>300</v>
      </c>
    </row>
    <row r="368" spans="1:9" x14ac:dyDescent="0.3">
      <c r="A368" t="s">
        <v>322</v>
      </c>
      <c r="C368" t="s">
        <v>298</v>
      </c>
      <c r="E368" s="11" t="s">
        <v>3001</v>
      </c>
      <c r="G368" s="2" t="s">
        <v>330</v>
      </c>
      <c r="I368" t="s">
        <v>1481</v>
      </c>
    </row>
    <row r="369" spans="1:9" x14ac:dyDescent="0.3">
      <c r="A369" t="s">
        <v>323</v>
      </c>
      <c r="C369" t="s">
        <v>299</v>
      </c>
      <c r="E369" s="2"/>
      <c r="G369" s="2" t="s">
        <v>331</v>
      </c>
    </row>
    <row r="370" spans="1:9" x14ac:dyDescent="0.3">
      <c r="A370" t="s">
        <v>324</v>
      </c>
      <c r="C370" t="s">
        <v>300</v>
      </c>
      <c r="E370" s="2"/>
      <c r="G370" s="2" t="s">
        <v>332</v>
      </c>
    </row>
    <row r="371" spans="1:9" x14ac:dyDescent="0.3">
      <c r="A371" t="s">
        <v>325</v>
      </c>
      <c r="C371" t="s">
        <v>301</v>
      </c>
      <c r="E371" s="11" t="s">
        <v>380</v>
      </c>
      <c r="G371" s="2" t="s">
        <v>333</v>
      </c>
      <c r="I371" t="s">
        <v>421</v>
      </c>
    </row>
    <row r="372" spans="1:9" x14ac:dyDescent="0.3">
      <c r="A372" t="s">
        <v>326</v>
      </c>
      <c r="C372" t="s">
        <v>302</v>
      </c>
      <c r="E372" s="2" t="s">
        <v>1467</v>
      </c>
      <c r="G372" s="2" t="s">
        <v>334</v>
      </c>
      <c r="I372" t="s">
        <v>1467</v>
      </c>
    </row>
    <row r="373" spans="1:9" x14ac:dyDescent="0.3">
      <c r="A373" t="s">
        <v>327</v>
      </c>
      <c r="C373" t="s">
        <v>303</v>
      </c>
      <c r="E373" s="2"/>
      <c r="G373" s="2" t="s">
        <v>335</v>
      </c>
    </row>
    <row r="374" spans="1:9" x14ac:dyDescent="0.3">
      <c r="A374" t="s">
        <v>328</v>
      </c>
      <c r="C374" t="s">
        <v>304</v>
      </c>
      <c r="E374" s="2" t="s">
        <v>3153</v>
      </c>
      <c r="G374" s="2" t="s">
        <v>336</v>
      </c>
      <c r="I374" t="s">
        <v>3155</v>
      </c>
    </row>
    <row r="375" spans="1:9" x14ac:dyDescent="0.3">
      <c r="A375" t="s">
        <v>329</v>
      </c>
      <c r="C375" t="s">
        <v>305</v>
      </c>
      <c r="E375" s="2"/>
      <c r="G375" s="2" t="s">
        <v>339</v>
      </c>
    </row>
    <row r="376" spans="1:9" x14ac:dyDescent="0.3">
      <c r="A376" t="s">
        <v>330</v>
      </c>
      <c r="C376" t="s">
        <v>306</v>
      </c>
      <c r="E376" s="2" t="s">
        <v>3002</v>
      </c>
      <c r="G376" s="2" t="s">
        <v>89</v>
      </c>
      <c r="I376" t="s">
        <v>302</v>
      </c>
    </row>
    <row r="377" spans="1:9" x14ac:dyDescent="0.3">
      <c r="A377" t="s">
        <v>331</v>
      </c>
      <c r="C377" t="s">
        <v>307</v>
      </c>
      <c r="E377" s="2" t="s">
        <v>373</v>
      </c>
      <c r="G377" s="2" t="s">
        <v>340</v>
      </c>
      <c r="I377" t="s">
        <v>303</v>
      </c>
    </row>
    <row r="378" spans="1:9" x14ac:dyDescent="0.3">
      <c r="A378" t="s">
        <v>332</v>
      </c>
      <c r="C378" t="s">
        <v>308</v>
      </c>
      <c r="E378" s="2" t="s">
        <v>374</v>
      </c>
      <c r="G378" s="2" t="s">
        <v>341</v>
      </c>
      <c r="I378" t="s">
        <v>304</v>
      </c>
    </row>
    <row r="379" spans="1:9" x14ac:dyDescent="0.3">
      <c r="A379" t="s">
        <v>333</v>
      </c>
      <c r="C379" t="s">
        <v>309</v>
      </c>
      <c r="E379" s="2" t="s">
        <v>3003</v>
      </c>
      <c r="G379" s="2" t="s">
        <v>342</v>
      </c>
      <c r="I379" t="s">
        <v>305</v>
      </c>
    </row>
    <row r="380" spans="1:9" x14ac:dyDescent="0.3">
      <c r="A380" t="s">
        <v>334</v>
      </c>
      <c r="C380" t="s">
        <v>310</v>
      </c>
      <c r="E380" s="2" t="s">
        <v>377</v>
      </c>
      <c r="G380" s="2" t="s">
        <v>343</v>
      </c>
      <c r="I380" t="s">
        <v>306</v>
      </c>
    </row>
    <row r="381" spans="1:9" x14ac:dyDescent="0.3">
      <c r="A381" t="s">
        <v>335</v>
      </c>
      <c r="C381" t="s">
        <v>89</v>
      </c>
      <c r="E381" s="2" t="s">
        <v>378</v>
      </c>
      <c r="G381" s="2" t="s">
        <v>344</v>
      </c>
      <c r="I381" t="s">
        <v>307</v>
      </c>
    </row>
    <row r="382" spans="1:9" x14ac:dyDescent="0.3">
      <c r="A382" t="s">
        <v>336</v>
      </c>
      <c r="C382" t="s">
        <v>311</v>
      </c>
      <c r="E382" s="2" t="s">
        <v>381</v>
      </c>
      <c r="G382" s="2" t="s">
        <v>345</v>
      </c>
      <c r="I382" t="s">
        <v>308</v>
      </c>
    </row>
    <row r="383" spans="1:9" x14ac:dyDescent="0.3">
      <c r="A383" t="s">
        <v>339</v>
      </c>
      <c r="C383" t="s">
        <v>312</v>
      </c>
      <c r="E383" s="2" t="s">
        <v>382</v>
      </c>
      <c r="G383" s="2" t="s">
        <v>346</v>
      </c>
      <c r="I383" t="s">
        <v>309</v>
      </c>
    </row>
    <row r="384" spans="1:9" x14ac:dyDescent="0.3">
      <c r="A384" t="s">
        <v>89</v>
      </c>
      <c r="C384" t="s">
        <v>313</v>
      </c>
      <c r="E384" s="2" t="s">
        <v>3004</v>
      </c>
      <c r="G384" s="2" t="s">
        <v>347</v>
      </c>
      <c r="I384" t="s">
        <v>310</v>
      </c>
    </row>
    <row r="385" spans="1:9" x14ac:dyDescent="0.3">
      <c r="A385" t="s">
        <v>340</v>
      </c>
      <c r="C385" t="s">
        <v>314</v>
      </c>
      <c r="E385" s="2" t="s">
        <v>385</v>
      </c>
      <c r="G385" s="2" t="s">
        <v>348</v>
      </c>
      <c r="I385" t="s">
        <v>89</v>
      </c>
    </row>
    <row r="386" spans="1:9" x14ac:dyDescent="0.3">
      <c r="A386" t="s">
        <v>341</v>
      </c>
      <c r="C386" t="s">
        <v>315</v>
      </c>
      <c r="E386" s="2" t="s">
        <v>386</v>
      </c>
      <c r="G386" s="2" t="s">
        <v>3069</v>
      </c>
      <c r="I386" t="s">
        <v>311</v>
      </c>
    </row>
    <row r="387" spans="1:9" x14ac:dyDescent="0.3">
      <c r="A387" t="s">
        <v>342</v>
      </c>
      <c r="C387" t="s">
        <v>316</v>
      </c>
      <c r="E387" s="2" t="s">
        <v>387</v>
      </c>
      <c r="G387" s="2"/>
      <c r="I387" t="s">
        <v>312</v>
      </c>
    </row>
    <row r="388" spans="1:9" x14ac:dyDescent="0.3">
      <c r="A388" t="s">
        <v>343</v>
      </c>
      <c r="C388" t="s">
        <v>317</v>
      </c>
      <c r="E388" s="2" t="s">
        <v>3005</v>
      </c>
      <c r="G388" s="2"/>
      <c r="I388" t="s">
        <v>313</v>
      </c>
    </row>
    <row r="389" spans="1:9" x14ac:dyDescent="0.3">
      <c r="A389" t="s">
        <v>344</v>
      </c>
      <c r="E389" s="2" t="s">
        <v>390</v>
      </c>
      <c r="G389" s="2" t="s">
        <v>256</v>
      </c>
      <c r="I389" t="s">
        <v>314</v>
      </c>
    </row>
    <row r="390" spans="1:9" x14ac:dyDescent="0.3">
      <c r="A390" t="s">
        <v>345</v>
      </c>
      <c r="E390" s="2" t="s">
        <v>391</v>
      </c>
      <c r="G390" s="2" t="s">
        <v>1467</v>
      </c>
      <c r="I390" t="s">
        <v>315</v>
      </c>
    </row>
    <row r="391" spans="1:9" x14ac:dyDescent="0.3">
      <c r="A391" t="s">
        <v>1483</v>
      </c>
      <c r="C391" t="s">
        <v>318</v>
      </c>
      <c r="E391" s="11" t="s">
        <v>3006</v>
      </c>
      <c r="G391" s="2"/>
      <c r="I391" t="s">
        <v>316</v>
      </c>
    </row>
    <row r="392" spans="1:9" x14ac:dyDescent="0.3">
      <c r="C392" t="s">
        <v>1467</v>
      </c>
      <c r="E392" s="11"/>
      <c r="G392" s="2" t="s">
        <v>3147</v>
      </c>
      <c r="I392" t="s">
        <v>319</v>
      </c>
    </row>
    <row r="393" spans="1:9" x14ac:dyDescent="0.3">
      <c r="E393" s="2"/>
      <c r="G393" s="2"/>
      <c r="I393" t="s">
        <v>1482</v>
      </c>
    </row>
    <row r="394" spans="1:9" x14ac:dyDescent="0.3">
      <c r="A394" t="s">
        <v>460</v>
      </c>
      <c r="C394" t="s">
        <v>3150</v>
      </c>
      <c r="E394" s="2" t="s">
        <v>400</v>
      </c>
      <c r="G394" s="11" t="s">
        <v>342</v>
      </c>
    </row>
    <row r="395" spans="1:9" x14ac:dyDescent="0.3">
      <c r="A395" t="s">
        <v>1467</v>
      </c>
      <c r="E395" s="11" t="s">
        <v>1467</v>
      </c>
      <c r="G395" s="11" t="s">
        <v>343</v>
      </c>
    </row>
    <row r="396" spans="1:9" x14ac:dyDescent="0.3">
      <c r="C396" t="s">
        <v>312</v>
      </c>
      <c r="E396" s="2"/>
      <c r="G396" s="2" t="s">
        <v>344</v>
      </c>
      <c r="I396" t="s">
        <v>441</v>
      </c>
    </row>
    <row r="397" spans="1:9" x14ac:dyDescent="0.3">
      <c r="A397" t="s">
        <v>340</v>
      </c>
      <c r="C397" t="s">
        <v>313</v>
      </c>
      <c r="E397" s="2" t="s">
        <v>3154</v>
      </c>
      <c r="G397" s="2" t="s">
        <v>345</v>
      </c>
      <c r="I397" t="s">
        <v>1467</v>
      </c>
    </row>
    <row r="398" spans="1:9" x14ac:dyDescent="0.3">
      <c r="A398" t="s">
        <v>341</v>
      </c>
      <c r="C398" t="s">
        <v>314</v>
      </c>
      <c r="E398" s="2"/>
      <c r="G398" s="11" t="s">
        <v>346</v>
      </c>
    </row>
    <row r="399" spans="1:9" x14ac:dyDescent="0.3">
      <c r="A399" t="s">
        <v>342</v>
      </c>
      <c r="C399" t="s">
        <v>315</v>
      </c>
      <c r="E399" s="2" t="s">
        <v>393</v>
      </c>
      <c r="G399" s="2" t="s">
        <v>347</v>
      </c>
      <c r="I399" t="s">
        <v>3156</v>
      </c>
    </row>
    <row r="400" spans="1:9" x14ac:dyDescent="0.3">
      <c r="A400" t="s">
        <v>343</v>
      </c>
      <c r="C400" t="s">
        <v>316</v>
      </c>
      <c r="E400" s="2" t="s">
        <v>89</v>
      </c>
      <c r="G400" s="11" t="s">
        <v>348</v>
      </c>
    </row>
    <row r="401" spans="1:9" x14ac:dyDescent="0.3">
      <c r="A401" t="s">
        <v>344</v>
      </c>
      <c r="C401" t="s">
        <v>319</v>
      </c>
      <c r="E401" s="2" t="s">
        <v>394</v>
      </c>
      <c r="G401" s="2" t="s">
        <v>349</v>
      </c>
      <c r="I401" t="s">
        <v>321</v>
      </c>
    </row>
    <row r="402" spans="1:9" x14ac:dyDescent="0.3">
      <c r="A402" t="s">
        <v>345</v>
      </c>
      <c r="C402" t="s">
        <v>320</v>
      </c>
      <c r="E402" s="2" t="s">
        <v>395</v>
      </c>
      <c r="G402" s="2" t="s">
        <v>350</v>
      </c>
      <c r="I402" t="s">
        <v>322</v>
      </c>
    </row>
    <row r="403" spans="1:9" x14ac:dyDescent="0.3">
      <c r="A403" t="s">
        <v>346</v>
      </c>
      <c r="C403" t="s">
        <v>321</v>
      </c>
      <c r="E403" s="2" t="s">
        <v>3007</v>
      </c>
      <c r="G403" s="2" t="s">
        <v>351</v>
      </c>
      <c r="I403" t="s">
        <v>323</v>
      </c>
    </row>
    <row r="404" spans="1:9" x14ac:dyDescent="0.3">
      <c r="A404" t="s">
        <v>347</v>
      </c>
      <c r="C404" t="s">
        <v>322</v>
      </c>
      <c r="E404" s="2" t="s">
        <v>398</v>
      </c>
      <c r="G404" s="2" t="s">
        <v>352</v>
      </c>
      <c r="I404" t="s">
        <v>324</v>
      </c>
    </row>
    <row r="405" spans="1:9" x14ac:dyDescent="0.3">
      <c r="A405" t="s">
        <v>348</v>
      </c>
      <c r="C405" t="s">
        <v>323</v>
      </c>
      <c r="E405" s="2" t="s">
        <v>3008</v>
      </c>
      <c r="G405" s="2" t="s">
        <v>353</v>
      </c>
      <c r="I405" t="s">
        <v>325</v>
      </c>
    </row>
    <row r="406" spans="1:9" x14ac:dyDescent="0.3">
      <c r="A406" t="s">
        <v>349</v>
      </c>
      <c r="C406" t="s">
        <v>324</v>
      </c>
      <c r="E406" s="2" t="s">
        <v>403</v>
      </c>
      <c r="G406" s="2" t="s">
        <v>354</v>
      </c>
      <c r="I406" t="s">
        <v>326</v>
      </c>
    </row>
    <row r="407" spans="1:9" x14ac:dyDescent="0.3">
      <c r="A407" t="s">
        <v>350</v>
      </c>
      <c r="C407" t="s">
        <v>325</v>
      </c>
      <c r="E407" s="2" t="s">
        <v>404</v>
      </c>
      <c r="G407" s="2" t="s">
        <v>355</v>
      </c>
      <c r="I407" t="s">
        <v>327</v>
      </c>
    </row>
    <row r="408" spans="1:9" x14ac:dyDescent="0.3">
      <c r="A408" t="s">
        <v>351</v>
      </c>
      <c r="C408" t="s">
        <v>326</v>
      </c>
      <c r="E408" s="2" t="s">
        <v>3009</v>
      </c>
      <c r="G408" s="2" t="s">
        <v>356</v>
      </c>
      <c r="I408" t="s">
        <v>328</v>
      </c>
    </row>
    <row r="409" spans="1:9" x14ac:dyDescent="0.3">
      <c r="A409" t="s">
        <v>352</v>
      </c>
      <c r="C409" t="s">
        <v>327</v>
      </c>
      <c r="E409" s="2" t="s">
        <v>407</v>
      </c>
      <c r="G409" s="2" t="s">
        <v>357</v>
      </c>
      <c r="I409" t="s">
        <v>329</v>
      </c>
    </row>
    <row r="410" spans="1:9" x14ac:dyDescent="0.3">
      <c r="A410" t="s">
        <v>353</v>
      </c>
      <c r="C410" t="s">
        <v>328</v>
      </c>
      <c r="E410" s="2" t="s">
        <v>3010</v>
      </c>
      <c r="G410" s="2" t="s">
        <v>358</v>
      </c>
      <c r="I410" t="s">
        <v>330</v>
      </c>
    </row>
    <row r="411" spans="1:9" x14ac:dyDescent="0.3">
      <c r="A411" t="s">
        <v>354</v>
      </c>
      <c r="C411" t="s">
        <v>329</v>
      </c>
      <c r="E411" s="2" t="s">
        <v>409</v>
      </c>
      <c r="G411" s="2" t="s">
        <v>359</v>
      </c>
      <c r="I411" t="s">
        <v>331</v>
      </c>
    </row>
    <row r="412" spans="1:9" x14ac:dyDescent="0.3">
      <c r="A412" t="s">
        <v>355</v>
      </c>
      <c r="C412" t="s">
        <v>330</v>
      </c>
      <c r="E412" s="11" t="s">
        <v>410</v>
      </c>
      <c r="G412" s="2" t="s">
        <v>360</v>
      </c>
      <c r="I412" t="s">
        <v>332</v>
      </c>
    </row>
    <row r="413" spans="1:9" x14ac:dyDescent="0.3">
      <c r="A413" t="s">
        <v>356</v>
      </c>
      <c r="C413" t="s">
        <v>331</v>
      </c>
      <c r="E413" s="11" t="s">
        <v>3011</v>
      </c>
      <c r="G413" s="2" t="s">
        <v>363</v>
      </c>
      <c r="I413" t="s">
        <v>333</v>
      </c>
    </row>
    <row r="414" spans="1:9" x14ac:dyDescent="0.3">
      <c r="A414" t="s">
        <v>357</v>
      </c>
      <c r="C414" t="s">
        <v>332</v>
      </c>
      <c r="E414" s="2" t="s">
        <v>413</v>
      </c>
      <c r="G414" s="2" t="s">
        <v>364</v>
      </c>
      <c r="I414" t="s">
        <v>334</v>
      </c>
    </row>
    <row r="415" spans="1:9" x14ac:dyDescent="0.3">
      <c r="A415" t="s">
        <v>1484</v>
      </c>
      <c r="C415" t="s">
        <v>333</v>
      </c>
      <c r="E415" s="2" t="s">
        <v>414</v>
      </c>
      <c r="G415" s="2" t="s">
        <v>365</v>
      </c>
      <c r="I415" t="s">
        <v>335</v>
      </c>
    </row>
    <row r="416" spans="1:9" x14ac:dyDescent="0.3">
      <c r="C416" t="s">
        <v>334</v>
      </c>
      <c r="E416" s="11" t="s">
        <v>415</v>
      </c>
      <c r="G416" s="2" t="s">
        <v>366</v>
      </c>
      <c r="I416" t="s">
        <v>336</v>
      </c>
    </row>
    <row r="417" spans="1:9" x14ac:dyDescent="0.3">
      <c r="C417" t="s">
        <v>335</v>
      </c>
      <c r="E417" s="2" t="s">
        <v>3012</v>
      </c>
      <c r="G417" s="2" t="s">
        <v>89</v>
      </c>
      <c r="I417" t="s">
        <v>339</v>
      </c>
    </row>
    <row r="418" spans="1:9" x14ac:dyDescent="0.3">
      <c r="A418" t="s">
        <v>481</v>
      </c>
      <c r="C418" t="s">
        <v>336</v>
      </c>
      <c r="E418" s="2"/>
      <c r="G418" s="2" t="s">
        <v>367</v>
      </c>
      <c r="I418" t="s">
        <v>89</v>
      </c>
    </row>
    <row r="419" spans="1:9" x14ac:dyDescent="0.3">
      <c r="A419" t="s">
        <v>1467</v>
      </c>
      <c r="C419" t="s">
        <v>337</v>
      </c>
      <c r="E419" s="2"/>
      <c r="G419" s="2" t="s">
        <v>368</v>
      </c>
      <c r="I419" t="s">
        <v>340</v>
      </c>
    </row>
    <row r="420" spans="1:9" x14ac:dyDescent="0.3">
      <c r="E420" s="2" t="s">
        <v>421</v>
      </c>
      <c r="G420" s="2" t="s">
        <v>369</v>
      </c>
      <c r="I420" t="s">
        <v>341</v>
      </c>
    </row>
    <row r="421" spans="1:9" x14ac:dyDescent="0.3">
      <c r="A421" t="s">
        <v>359</v>
      </c>
      <c r="E421" s="2" t="s">
        <v>1467</v>
      </c>
      <c r="G421" s="2" t="s">
        <v>370</v>
      </c>
      <c r="I421" t="s">
        <v>342</v>
      </c>
    </row>
    <row r="422" spans="1:9" x14ac:dyDescent="0.3">
      <c r="A422" t="s">
        <v>360</v>
      </c>
      <c r="C422" t="s">
        <v>338</v>
      </c>
      <c r="E422" s="2"/>
      <c r="G422" s="2" t="s">
        <v>371</v>
      </c>
      <c r="I422" t="s">
        <v>343</v>
      </c>
    </row>
    <row r="423" spans="1:9" x14ac:dyDescent="0.3">
      <c r="A423" t="s">
        <v>363</v>
      </c>
      <c r="C423" t="s">
        <v>1467</v>
      </c>
      <c r="E423" s="2" t="s">
        <v>3155</v>
      </c>
      <c r="G423" s="2" t="s">
        <v>372</v>
      </c>
      <c r="I423" t="s">
        <v>344</v>
      </c>
    </row>
    <row r="424" spans="1:9" x14ac:dyDescent="0.3">
      <c r="A424" t="s">
        <v>364</v>
      </c>
      <c r="E424" s="2"/>
      <c r="G424" s="2" t="s">
        <v>373</v>
      </c>
      <c r="I424" t="s">
        <v>345</v>
      </c>
    </row>
    <row r="425" spans="1:9" x14ac:dyDescent="0.3">
      <c r="A425" t="s">
        <v>365</v>
      </c>
      <c r="C425" t="s">
        <v>3151</v>
      </c>
      <c r="E425" s="2" t="s">
        <v>417</v>
      </c>
      <c r="G425" s="2" t="s">
        <v>374</v>
      </c>
      <c r="I425" t="s">
        <v>1483</v>
      </c>
    </row>
    <row r="426" spans="1:9" x14ac:dyDescent="0.3">
      <c r="A426" t="s">
        <v>366</v>
      </c>
      <c r="E426" s="2" t="s">
        <v>418</v>
      </c>
      <c r="G426" s="2" t="s">
        <v>375</v>
      </c>
    </row>
    <row r="427" spans="1:9" x14ac:dyDescent="0.3">
      <c r="A427" t="s">
        <v>89</v>
      </c>
      <c r="C427" t="s">
        <v>334</v>
      </c>
      <c r="E427" s="2" t="s">
        <v>3013</v>
      </c>
      <c r="G427" s="2" t="s">
        <v>376</v>
      </c>
    </row>
    <row r="428" spans="1:9" x14ac:dyDescent="0.3">
      <c r="A428" t="s">
        <v>367</v>
      </c>
      <c r="C428" t="s">
        <v>335</v>
      </c>
      <c r="E428" s="2" t="s">
        <v>422</v>
      </c>
      <c r="G428" s="2" t="s">
        <v>377</v>
      </c>
      <c r="I428" t="s">
        <v>460</v>
      </c>
    </row>
    <row r="429" spans="1:9" x14ac:dyDescent="0.3">
      <c r="A429" t="s">
        <v>368</v>
      </c>
      <c r="C429" t="s">
        <v>336</v>
      </c>
      <c r="E429" s="2" t="s">
        <v>423</v>
      </c>
      <c r="G429" s="2" t="s">
        <v>3070</v>
      </c>
      <c r="I429" t="s">
        <v>1467</v>
      </c>
    </row>
    <row r="430" spans="1:9" x14ac:dyDescent="0.3">
      <c r="A430" t="s">
        <v>369</v>
      </c>
      <c r="C430" t="s">
        <v>339</v>
      </c>
      <c r="E430" s="2" t="s">
        <v>3014</v>
      </c>
      <c r="G430" s="2"/>
    </row>
    <row r="431" spans="1:9" x14ac:dyDescent="0.3">
      <c r="A431" t="s">
        <v>370</v>
      </c>
      <c r="C431" t="s">
        <v>89</v>
      </c>
      <c r="E431" s="2" t="s">
        <v>426</v>
      </c>
      <c r="G431" s="2"/>
      <c r="I431" t="s">
        <v>3157</v>
      </c>
    </row>
    <row r="432" spans="1:9" x14ac:dyDescent="0.3">
      <c r="A432" t="s">
        <v>371</v>
      </c>
      <c r="C432" t="s">
        <v>340</v>
      </c>
      <c r="E432" s="2" t="s">
        <v>427</v>
      </c>
      <c r="G432" s="2" t="s">
        <v>273</v>
      </c>
    </row>
    <row r="433" spans="1:9" x14ac:dyDescent="0.3">
      <c r="A433" t="s">
        <v>372</v>
      </c>
      <c r="C433" t="s">
        <v>341</v>
      </c>
      <c r="E433" s="2" t="s">
        <v>428</v>
      </c>
      <c r="G433" s="2" t="s">
        <v>1467</v>
      </c>
      <c r="I433" t="s">
        <v>340</v>
      </c>
    </row>
    <row r="434" spans="1:9" x14ac:dyDescent="0.3">
      <c r="A434" t="s">
        <v>373</v>
      </c>
      <c r="C434" t="s">
        <v>342</v>
      </c>
      <c r="E434" s="11" t="s">
        <v>429</v>
      </c>
      <c r="G434" s="2"/>
      <c r="I434" t="s">
        <v>341</v>
      </c>
    </row>
    <row r="435" spans="1:9" x14ac:dyDescent="0.3">
      <c r="A435" t="s">
        <v>374</v>
      </c>
      <c r="C435" t="s">
        <v>343</v>
      </c>
      <c r="E435" s="11" t="s">
        <v>3472</v>
      </c>
      <c r="G435" s="2" t="s">
        <v>3148</v>
      </c>
      <c r="I435" t="s">
        <v>342</v>
      </c>
    </row>
    <row r="436" spans="1:9" x14ac:dyDescent="0.3">
      <c r="A436" t="s">
        <v>375</v>
      </c>
      <c r="C436" t="s">
        <v>344</v>
      </c>
      <c r="E436" s="2" t="s">
        <v>432</v>
      </c>
      <c r="G436" s="2"/>
      <c r="I436" t="s">
        <v>343</v>
      </c>
    </row>
    <row r="437" spans="1:9" x14ac:dyDescent="0.3">
      <c r="A437" t="s">
        <v>376</v>
      </c>
      <c r="C437" t="s">
        <v>345</v>
      </c>
      <c r="E437" s="2" t="s">
        <v>3015</v>
      </c>
      <c r="G437" s="11" t="s">
        <v>373</v>
      </c>
      <c r="I437" t="s">
        <v>344</v>
      </c>
    </row>
    <row r="438" spans="1:9" x14ac:dyDescent="0.3">
      <c r="A438" t="s">
        <v>377</v>
      </c>
      <c r="C438" t="s">
        <v>346</v>
      </c>
      <c r="E438" s="11" t="s">
        <v>435</v>
      </c>
      <c r="G438" s="11" t="s">
        <v>374</v>
      </c>
      <c r="I438" t="s">
        <v>345</v>
      </c>
    </row>
    <row r="439" spans="1:9" x14ac:dyDescent="0.3">
      <c r="A439" t="s">
        <v>378</v>
      </c>
      <c r="C439" t="s">
        <v>347</v>
      </c>
      <c r="E439" s="2" t="s">
        <v>3473</v>
      </c>
      <c r="G439" s="2" t="s">
        <v>375</v>
      </c>
      <c r="I439" t="s">
        <v>346</v>
      </c>
    </row>
    <row r="440" spans="1:9" x14ac:dyDescent="0.3">
      <c r="A440" t="s">
        <v>381</v>
      </c>
      <c r="C440" t="s">
        <v>348</v>
      </c>
      <c r="E440" s="2" t="s">
        <v>3016</v>
      </c>
      <c r="G440" s="2" t="s">
        <v>376</v>
      </c>
      <c r="I440" t="s">
        <v>347</v>
      </c>
    </row>
    <row r="441" spans="1:9" x14ac:dyDescent="0.3">
      <c r="A441" t="s">
        <v>382</v>
      </c>
      <c r="C441" t="s">
        <v>349</v>
      </c>
      <c r="E441" s="2"/>
      <c r="G441" s="11" t="s">
        <v>377</v>
      </c>
      <c r="I441" t="s">
        <v>348</v>
      </c>
    </row>
    <row r="442" spans="1:9" x14ac:dyDescent="0.3">
      <c r="A442" t="s">
        <v>1485</v>
      </c>
      <c r="C442" t="s">
        <v>350</v>
      </c>
      <c r="E442" s="2"/>
      <c r="G442" s="2" t="s">
        <v>378</v>
      </c>
      <c r="I442" t="s">
        <v>349</v>
      </c>
    </row>
    <row r="443" spans="1:9" x14ac:dyDescent="0.3">
      <c r="C443" t="s">
        <v>351</v>
      </c>
      <c r="E443" s="2" t="s">
        <v>441</v>
      </c>
      <c r="G443" s="11" t="s">
        <v>381</v>
      </c>
      <c r="I443" t="s">
        <v>350</v>
      </c>
    </row>
    <row r="444" spans="1:9" x14ac:dyDescent="0.3">
      <c r="C444" t="s">
        <v>352</v>
      </c>
      <c r="E444" s="2" t="s">
        <v>1467</v>
      </c>
      <c r="G444" s="2" t="s">
        <v>382</v>
      </c>
      <c r="I444" t="s">
        <v>351</v>
      </c>
    </row>
    <row r="445" spans="1:9" x14ac:dyDescent="0.3">
      <c r="A445" t="s">
        <v>501</v>
      </c>
      <c r="C445" t="s">
        <v>353</v>
      </c>
      <c r="E445" s="2"/>
      <c r="G445" s="2" t="s">
        <v>383</v>
      </c>
      <c r="I445" t="s">
        <v>352</v>
      </c>
    </row>
    <row r="446" spans="1:9" x14ac:dyDescent="0.3">
      <c r="A446" t="s">
        <v>1467</v>
      </c>
      <c r="C446" t="s">
        <v>354</v>
      </c>
      <c r="E446" s="2" t="s">
        <v>3156</v>
      </c>
      <c r="G446" s="2" t="s">
        <v>384</v>
      </c>
      <c r="I446" t="s">
        <v>353</v>
      </c>
    </row>
    <row r="447" spans="1:9" x14ac:dyDescent="0.3">
      <c r="C447" t="s">
        <v>355</v>
      </c>
      <c r="E447" s="2"/>
      <c r="G447" s="2" t="s">
        <v>385</v>
      </c>
      <c r="I447" t="s">
        <v>354</v>
      </c>
    </row>
    <row r="448" spans="1:9" x14ac:dyDescent="0.3">
      <c r="A448" t="s">
        <v>377</v>
      </c>
      <c r="C448" t="s">
        <v>356</v>
      </c>
      <c r="E448" s="2" t="s">
        <v>439</v>
      </c>
      <c r="G448" s="2" t="s">
        <v>386</v>
      </c>
      <c r="I448" t="s">
        <v>355</v>
      </c>
    </row>
    <row r="449" spans="1:9" x14ac:dyDescent="0.3">
      <c r="A449" t="s">
        <v>378</v>
      </c>
      <c r="C449" t="s">
        <v>357</v>
      </c>
      <c r="E449" s="2" t="s">
        <v>442</v>
      </c>
      <c r="G449" s="2" t="s">
        <v>387</v>
      </c>
      <c r="I449" t="s">
        <v>356</v>
      </c>
    </row>
    <row r="450" spans="1:9" x14ac:dyDescent="0.3">
      <c r="A450" t="s">
        <v>381</v>
      </c>
      <c r="C450" t="s">
        <v>358</v>
      </c>
      <c r="E450" s="2" t="s">
        <v>443</v>
      </c>
      <c r="G450" s="2" t="s">
        <v>388</v>
      </c>
      <c r="I450" t="s">
        <v>357</v>
      </c>
    </row>
    <row r="451" spans="1:9" x14ac:dyDescent="0.3">
      <c r="A451" t="s">
        <v>382</v>
      </c>
      <c r="C451" t="s">
        <v>359</v>
      </c>
      <c r="E451" s="2" t="s">
        <v>3017</v>
      </c>
      <c r="G451" s="2" t="s">
        <v>389</v>
      </c>
      <c r="I451" t="s">
        <v>1484</v>
      </c>
    </row>
    <row r="452" spans="1:9" x14ac:dyDescent="0.3">
      <c r="A452" t="s">
        <v>383</v>
      </c>
      <c r="C452" t="s">
        <v>360</v>
      </c>
      <c r="E452" s="2" t="s">
        <v>446</v>
      </c>
      <c r="G452" s="2" t="s">
        <v>390</v>
      </c>
    </row>
    <row r="453" spans="1:9" x14ac:dyDescent="0.3">
      <c r="A453" t="s">
        <v>384</v>
      </c>
      <c r="C453" t="s">
        <v>361</v>
      </c>
      <c r="E453" s="2" t="s">
        <v>447</v>
      </c>
      <c r="G453" s="2" t="s">
        <v>391</v>
      </c>
    </row>
    <row r="454" spans="1:9" x14ac:dyDescent="0.3">
      <c r="A454" t="s">
        <v>385</v>
      </c>
      <c r="E454" s="2" t="s">
        <v>448</v>
      </c>
      <c r="G454" s="2" t="s">
        <v>392</v>
      </c>
      <c r="I454" t="s">
        <v>481</v>
      </c>
    </row>
    <row r="455" spans="1:9" x14ac:dyDescent="0.3">
      <c r="A455" t="s">
        <v>386</v>
      </c>
      <c r="E455" s="2" t="s">
        <v>89</v>
      </c>
      <c r="G455" s="2" t="s">
        <v>393</v>
      </c>
      <c r="I455" t="s">
        <v>1467</v>
      </c>
    </row>
    <row r="456" spans="1:9" x14ac:dyDescent="0.3">
      <c r="A456" t="s">
        <v>387</v>
      </c>
      <c r="C456" t="s">
        <v>362</v>
      </c>
      <c r="E456" s="11" t="s">
        <v>449</v>
      </c>
      <c r="G456" s="2" t="s">
        <v>89</v>
      </c>
    </row>
    <row r="457" spans="1:9" x14ac:dyDescent="0.3">
      <c r="A457" t="s">
        <v>388</v>
      </c>
      <c r="C457" t="s">
        <v>1467</v>
      </c>
      <c r="E457" s="11" t="s">
        <v>3474</v>
      </c>
      <c r="G457" s="2" t="s">
        <v>394</v>
      </c>
      <c r="I457" t="s">
        <v>3158</v>
      </c>
    </row>
    <row r="458" spans="1:9" x14ac:dyDescent="0.3">
      <c r="A458" t="s">
        <v>389</v>
      </c>
      <c r="E458" s="2" t="s">
        <v>452</v>
      </c>
      <c r="G458" s="2" t="s">
        <v>395</v>
      </c>
    </row>
    <row r="459" spans="1:9" x14ac:dyDescent="0.3">
      <c r="A459" t="s">
        <v>390</v>
      </c>
      <c r="C459" t="s">
        <v>3152</v>
      </c>
      <c r="E459" s="2" t="s">
        <v>453</v>
      </c>
      <c r="G459" s="2" t="s">
        <v>396</v>
      </c>
      <c r="I459" t="s">
        <v>359</v>
      </c>
    </row>
    <row r="460" spans="1:9" x14ac:dyDescent="0.3">
      <c r="A460" t="s">
        <v>391</v>
      </c>
      <c r="E460" s="11" t="s">
        <v>454</v>
      </c>
      <c r="G460" s="2" t="s">
        <v>397</v>
      </c>
      <c r="I460" t="s">
        <v>360</v>
      </c>
    </row>
    <row r="461" spans="1:9" x14ac:dyDescent="0.3">
      <c r="A461" t="s">
        <v>392</v>
      </c>
      <c r="C461" t="s">
        <v>355</v>
      </c>
      <c r="E461" s="2" t="s">
        <v>3475</v>
      </c>
      <c r="G461" s="2" t="s">
        <v>398</v>
      </c>
      <c r="I461" t="s">
        <v>363</v>
      </c>
    </row>
    <row r="462" spans="1:9" x14ac:dyDescent="0.3">
      <c r="A462" t="s">
        <v>393</v>
      </c>
      <c r="C462" t="s">
        <v>356</v>
      </c>
      <c r="E462" s="2" t="s">
        <v>457</v>
      </c>
      <c r="G462" s="2" t="s">
        <v>401</v>
      </c>
      <c r="I462" t="s">
        <v>364</v>
      </c>
    </row>
    <row r="463" spans="1:9" x14ac:dyDescent="0.3">
      <c r="A463" t="s">
        <v>89</v>
      </c>
      <c r="C463" t="s">
        <v>357</v>
      </c>
      <c r="E463" s="2" t="s">
        <v>458</v>
      </c>
      <c r="G463" s="2" t="s">
        <v>402</v>
      </c>
      <c r="I463" t="s">
        <v>365</v>
      </c>
    </row>
    <row r="464" spans="1:9" x14ac:dyDescent="0.3">
      <c r="A464" t="s">
        <v>394</v>
      </c>
      <c r="C464" t="s">
        <v>358</v>
      </c>
      <c r="E464" s="2" t="s">
        <v>459</v>
      </c>
      <c r="G464" s="2" t="s">
        <v>403</v>
      </c>
      <c r="I464" t="s">
        <v>366</v>
      </c>
    </row>
    <row r="465" spans="1:9" x14ac:dyDescent="0.3">
      <c r="A465" t="s">
        <v>395</v>
      </c>
      <c r="C465" t="s">
        <v>359</v>
      </c>
      <c r="E465" s="2"/>
      <c r="G465" s="2" t="s">
        <v>404</v>
      </c>
      <c r="I465" t="s">
        <v>89</v>
      </c>
    </row>
    <row r="466" spans="1:9" x14ac:dyDescent="0.3">
      <c r="A466" t="s">
        <v>396</v>
      </c>
      <c r="C466" t="s">
        <v>360</v>
      </c>
      <c r="E466" s="2"/>
      <c r="G466" s="2" t="s">
        <v>405</v>
      </c>
      <c r="I466" t="s">
        <v>367</v>
      </c>
    </row>
    <row r="467" spans="1:9" x14ac:dyDescent="0.3">
      <c r="A467" t="s">
        <v>397</v>
      </c>
      <c r="C467" t="s">
        <v>363</v>
      </c>
      <c r="E467" s="2" t="s">
        <v>460</v>
      </c>
      <c r="G467" s="2" t="s">
        <v>406</v>
      </c>
      <c r="I467" t="s">
        <v>368</v>
      </c>
    </row>
    <row r="468" spans="1:9" x14ac:dyDescent="0.3">
      <c r="A468" t="s">
        <v>398</v>
      </c>
      <c r="C468" t="s">
        <v>364</v>
      </c>
      <c r="E468" s="2" t="s">
        <v>1467</v>
      </c>
      <c r="G468" s="2" t="s">
        <v>407</v>
      </c>
      <c r="I468" t="s">
        <v>369</v>
      </c>
    </row>
    <row r="469" spans="1:9" x14ac:dyDescent="0.3">
      <c r="A469" t="s">
        <v>401</v>
      </c>
      <c r="C469" t="s">
        <v>365</v>
      </c>
      <c r="E469" s="2"/>
      <c r="G469" s="2" t="s">
        <v>156</v>
      </c>
      <c r="I469" t="s">
        <v>370</v>
      </c>
    </row>
    <row r="470" spans="1:9" x14ac:dyDescent="0.3">
      <c r="A470" t="s">
        <v>1486</v>
      </c>
      <c r="C470" t="s">
        <v>366</v>
      </c>
      <c r="E470" s="2" t="s">
        <v>3157</v>
      </c>
      <c r="G470" s="2" t="s">
        <v>408</v>
      </c>
      <c r="I470" t="s">
        <v>371</v>
      </c>
    </row>
    <row r="471" spans="1:9" x14ac:dyDescent="0.3">
      <c r="C471" t="s">
        <v>89</v>
      </c>
      <c r="E471" s="2"/>
      <c r="G471" s="2" t="s">
        <v>3071</v>
      </c>
      <c r="I471" t="s">
        <v>372</v>
      </c>
    </row>
    <row r="472" spans="1:9" x14ac:dyDescent="0.3">
      <c r="C472" t="s">
        <v>367</v>
      </c>
      <c r="E472" s="2" t="s">
        <v>462</v>
      </c>
      <c r="G472" s="2"/>
      <c r="I472" t="s">
        <v>373</v>
      </c>
    </row>
    <row r="473" spans="1:9" x14ac:dyDescent="0.3">
      <c r="A473" t="s">
        <v>521</v>
      </c>
      <c r="C473" t="s">
        <v>368</v>
      </c>
      <c r="E473" s="2" t="s">
        <v>463</v>
      </c>
      <c r="G473" s="2"/>
      <c r="I473" t="s">
        <v>374</v>
      </c>
    </row>
    <row r="474" spans="1:9" x14ac:dyDescent="0.3">
      <c r="A474" t="s">
        <v>1467</v>
      </c>
      <c r="C474" t="s">
        <v>369</v>
      </c>
      <c r="E474" s="2" t="s">
        <v>464</v>
      </c>
      <c r="G474" s="2" t="s">
        <v>295</v>
      </c>
      <c r="I474" t="s">
        <v>375</v>
      </c>
    </row>
    <row r="475" spans="1:9" x14ac:dyDescent="0.3">
      <c r="C475" t="s">
        <v>370</v>
      </c>
      <c r="E475" s="2" t="s">
        <v>465</v>
      </c>
      <c r="G475" s="2" t="s">
        <v>1467</v>
      </c>
      <c r="I475" t="s">
        <v>376</v>
      </c>
    </row>
    <row r="476" spans="1:9" x14ac:dyDescent="0.3">
      <c r="A476" t="s">
        <v>395</v>
      </c>
      <c r="C476" t="s">
        <v>371</v>
      </c>
      <c r="E476" s="2" t="s">
        <v>466</v>
      </c>
      <c r="G476" s="2"/>
      <c r="I476" t="s">
        <v>377</v>
      </c>
    </row>
    <row r="477" spans="1:9" x14ac:dyDescent="0.3">
      <c r="A477" t="s">
        <v>396</v>
      </c>
      <c r="C477" t="s">
        <v>372</v>
      </c>
      <c r="E477" s="11" t="s">
        <v>3476</v>
      </c>
      <c r="G477" s="2" t="s">
        <v>3149</v>
      </c>
      <c r="I477" t="s">
        <v>378</v>
      </c>
    </row>
    <row r="478" spans="1:9" x14ac:dyDescent="0.3">
      <c r="A478" t="s">
        <v>397</v>
      </c>
      <c r="C478" t="s">
        <v>373</v>
      </c>
      <c r="E478" s="11" t="s">
        <v>469</v>
      </c>
      <c r="G478" s="2"/>
      <c r="I478" t="s">
        <v>381</v>
      </c>
    </row>
    <row r="479" spans="1:9" x14ac:dyDescent="0.3">
      <c r="A479" t="s">
        <v>398</v>
      </c>
      <c r="C479" t="s">
        <v>374</v>
      </c>
      <c r="E479" s="2" t="s">
        <v>470</v>
      </c>
      <c r="G479" s="11" t="s">
        <v>403</v>
      </c>
      <c r="I479" t="s">
        <v>382</v>
      </c>
    </row>
    <row r="480" spans="1:9" x14ac:dyDescent="0.3">
      <c r="A480" t="s">
        <v>401</v>
      </c>
      <c r="C480" t="s">
        <v>375</v>
      </c>
      <c r="E480" s="2" t="s">
        <v>471</v>
      </c>
      <c r="G480" s="11" t="s">
        <v>404</v>
      </c>
      <c r="I480" t="s">
        <v>1485</v>
      </c>
    </row>
    <row r="481" spans="1:9" x14ac:dyDescent="0.3">
      <c r="A481" t="s">
        <v>402</v>
      </c>
      <c r="C481" t="s">
        <v>376</v>
      </c>
      <c r="E481" s="11" t="s">
        <v>472</v>
      </c>
      <c r="G481" s="2" t="s">
        <v>405</v>
      </c>
    </row>
    <row r="482" spans="1:9" x14ac:dyDescent="0.3">
      <c r="A482" t="s">
        <v>403</v>
      </c>
      <c r="C482" t="s">
        <v>377</v>
      </c>
      <c r="E482" s="2" t="s">
        <v>3018</v>
      </c>
      <c r="G482" s="2" t="s">
        <v>406</v>
      </c>
    </row>
    <row r="483" spans="1:9" x14ac:dyDescent="0.3">
      <c r="A483" t="s">
        <v>404</v>
      </c>
      <c r="C483" t="s">
        <v>378</v>
      </c>
      <c r="E483" s="2" t="s">
        <v>475</v>
      </c>
      <c r="G483" s="11" t="s">
        <v>407</v>
      </c>
      <c r="I483" t="s">
        <v>501</v>
      </c>
    </row>
    <row r="484" spans="1:9" x14ac:dyDescent="0.3">
      <c r="A484" t="s">
        <v>1487</v>
      </c>
      <c r="C484" t="s">
        <v>379</v>
      </c>
      <c r="E484" s="2" t="s">
        <v>89</v>
      </c>
      <c r="G484" s="2" t="s">
        <v>156</v>
      </c>
      <c r="I484" t="s">
        <v>1467</v>
      </c>
    </row>
    <row r="485" spans="1:9" x14ac:dyDescent="0.3">
      <c r="E485" s="2" t="s">
        <v>476</v>
      </c>
      <c r="G485" s="11" t="s">
        <v>408</v>
      </c>
    </row>
    <row r="486" spans="1:9" x14ac:dyDescent="0.3">
      <c r="E486" s="2" t="s">
        <v>477</v>
      </c>
      <c r="G486" s="2" t="s">
        <v>409</v>
      </c>
      <c r="I486" t="s">
        <v>3159</v>
      </c>
    </row>
    <row r="487" spans="1:9" x14ac:dyDescent="0.3">
      <c r="A487" t="s">
        <v>543</v>
      </c>
      <c r="C487" t="s">
        <v>380</v>
      </c>
      <c r="E487" s="2" t="s">
        <v>3019</v>
      </c>
      <c r="G487" s="2" t="s">
        <v>410</v>
      </c>
    </row>
    <row r="488" spans="1:9" x14ac:dyDescent="0.3">
      <c r="A488" t="s">
        <v>1467</v>
      </c>
      <c r="C488" t="s">
        <v>1467</v>
      </c>
      <c r="E488" s="2" t="s">
        <v>480</v>
      </c>
      <c r="G488" s="2" t="s">
        <v>411</v>
      </c>
      <c r="I488" t="s">
        <v>377</v>
      </c>
    </row>
    <row r="489" spans="1:9" x14ac:dyDescent="0.3">
      <c r="E489" s="2"/>
      <c r="G489" s="2" t="s">
        <v>412</v>
      </c>
      <c r="I489" t="s">
        <v>378</v>
      </c>
    </row>
    <row r="490" spans="1:9" x14ac:dyDescent="0.3">
      <c r="A490" t="s">
        <v>406</v>
      </c>
      <c r="C490" t="s">
        <v>3153</v>
      </c>
      <c r="E490" s="2"/>
      <c r="G490" s="2" t="s">
        <v>413</v>
      </c>
      <c r="I490" t="s">
        <v>381</v>
      </c>
    </row>
    <row r="491" spans="1:9" x14ac:dyDescent="0.3">
      <c r="A491" t="s">
        <v>407</v>
      </c>
      <c r="E491" s="2" t="s">
        <v>481</v>
      </c>
      <c r="G491" s="2" t="s">
        <v>414</v>
      </c>
      <c r="I491" t="s">
        <v>382</v>
      </c>
    </row>
    <row r="492" spans="1:9" x14ac:dyDescent="0.3">
      <c r="A492" t="s">
        <v>156</v>
      </c>
      <c r="C492" t="s">
        <v>375</v>
      </c>
      <c r="E492" s="2" t="s">
        <v>1467</v>
      </c>
      <c r="G492" s="2" t="s">
        <v>415</v>
      </c>
      <c r="I492" t="s">
        <v>383</v>
      </c>
    </row>
    <row r="493" spans="1:9" x14ac:dyDescent="0.3">
      <c r="A493" t="s">
        <v>408</v>
      </c>
      <c r="C493" t="s">
        <v>376</v>
      </c>
      <c r="E493" s="2"/>
      <c r="G493" s="2" t="s">
        <v>416</v>
      </c>
      <c r="I493" t="s">
        <v>384</v>
      </c>
    </row>
    <row r="494" spans="1:9" x14ac:dyDescent="0.3">
      <c r="A494" t="s">
        <v>409</v>
      </c>
      <c r="C494" t="s">
        <v>377</v>
      </c>
      <c r="E494" s="2" t="s">
        <v>3158</v>
      </c>
      <c r="G494" s="2" t="s">
        <v>417</v>
      </c>
      <c r="I494" t="s">
        <v>385</v>
      </c>
    </row>
    <row r="495" spans="1:9" x14ac:dyDescent="0.3">
      <c r="A495" t="s">
        <v>410</v>
      </c>
      <c r="C495" t="s">
        <v>378</v>
      </c>
      <c r="E495" s="2"/>
      <c r="G495" s="2" t="s">
        <v>418</v>
      </c>
      <c r="I495" t="s">
        <v>386</v>
      </c>
    </row>
    <row r="496" spans="1:9" x14ac:dyDescent="0.3">
      <c r="A496" t="s">
        <v>411</v>
      </c>
      <c r="C496" t="s">
        <v>381</v>
      </c>
      <c r="E496" s="2" t="s">
        <v>483</v>
      </c>
      <c r="G496" s="2" t="s">
        <v>419</v>
      </c>
      <c r="I496" t="s">
        <v>387</v>
      </c>
    </row>
    <row r="497" spans="1:9" x14ac:dyDescent="0.3">
      <c r="A497" t="s">
        <v>412</v>
      </c>
      <c r="C497" t="s">
        <v>382</v>
      </c>
      <c r="E497" s="2" t="s">
        <v>484</v>
      </c>
      <c r="G497" s="2" t="s">
        <v>89</v>
      </c>
      <c r="I497" t="s">
        <v>388</v>
      </c>
    </row>
    <row r="498" spans="1:9" x14ac:dyDescent="0.3">
      <c r="A498" t="s">
        <v>413</v>
      </c>
      <c r="C498" t="s">
        <v>383</v>
      </c>
      <c r="E498" s="2" t="s">
        <v>485</v>
      </c>
      <c r="G498" s="2" t="s">
        <v>422</v>
      </c>
      <c r="I498" t="s">
        <v>389</v>
      </c>
    </row>
    <row r="499" spans="1:9" x14ac:dyDescent="0.3">
      <c r="A499" t="s">
        <v>414</v>
      </c>
      <c r="C499" t="s">
        <v>384</v>
      </c>
      <c r="E499" s="11" t="s">
        <v>486</v>
      </c>
      <c r="G499" s="2" t="s">
        <v>423</v>
      </c>
      <c r="I499" t="s">
        <v>390</v>
      </c>
    </row>
    <row r="500" spans="1:9" x14ac:dyDescent="0.3">
      <c r="A500" t="s">
        <v>415</v>
      </c>
      <c r="C500" t="s">
        <v>385</v>
      </c>
      <c r="E500" s="11" t="s">
        <v>487</v>
      </c>
      <c r="G500" s="2" t="s">
        <v>424</v>
      </c>
      <c r="I500" t="s">
        <v>391</v>
      </c>
    </row>
    <row r="501" spans="1:9" x14ac:dyDescent="0.3">
      <c r="A501" t="s">
        <v>416</v>
      </c>
      <c r="C501" t="s">
        <v>386</v>
      </c>
      <c r="E501" s="2" t="s">
        <v>488</v>
      </c>
      <c r="G501" s="2" t="s">
        <v>425</v>
      </c>
      <c r="I501" t="s">
        <v>392</v>
      </c>
    </row>
    <row r="502" spans="1:9" x14ac:dyDescent="0.3">
      <c r="A502" t="s">
        <v>417</v>
      </c>
      <c r="C502" t="s">
        <v>387</v>
      </c>
      <c r="E502" s="2" t="s">
        <v>489</v>
      </c>
      <c r="G502" s="2" t="s">
        <v>426</v>
      </c>
      <c r="I502" t="s">
        <v>393</v>
      </c>
    </row>
    <row r="503" spans="1:9" x14ac:dyDescent="0.3">
      <c r="A503" t="s">
        <v>418</v>
      </c>
      <c r="C503" t="s">
        <v>388</v>
      </c>
      <c r="E503" s="11" t="s">
        <v>490</v>
      </c>
      <c r="G503" s="2" t="s">
        <v>427</v>
      </c>
      <c r="I503" t="s">
        <v>89</v>
      </c>
    </row>
    <row r="504" spans="1:9" x14ac:dyDescent="0.3">
      <c r="A504" t="s">
        <v>419</v>
      </c>
      <c r="C504" t="s">
        <v>389</v>
      </c>
      <c r="E504" s="2" t="s">
        <v>3020</v>
      </c>
      <c r="G504" s="2" t="s">
        <v>428</v>
      </c>
      <c r="I504" t="s">
        <v>394</v>
      </c>
    </row>
    <row r="505" spans="1:9" x14ac:dyDescent="0.3">
      <c r="A505" t="s">
        <v>725</v>
      </c>
      <c r="C505" t="s">
        <v>390</v>
      </c>
      <c r="E505" s="2" t="s">
        <v>493</v>
      </c>
      <c r="G505" s="2" t="s">
        <v>429</v>
      </c>
      <c r="I505" t="s">
        <v>395</v>
      </c>
    </row>
    <row r="506" spans="1:9" x14ac:dyDescent="0.3">
      <c r="C506" t="s">
        <v>391</v>
      </c>
      <c r="E506" s="2" t="s">
        <v>494</v>
      </c>
      <c r="G506" s="2" t="s">
        <v>430</v>
      </c>
      <c r="I506" t="s">
        <v>396</v>
      </c>
    </row>
    <row r="507" spans="1:9" x14ac:dyDescent="0.3">
      <c r="C507" t="s">
        <v>392</v>
      </c>
      <c r="E507" s="2" t="s">
        <v>495</v>
      </c>
      <c r="G507" s="2" t="s">
        <v>431</v>
      </c>
      <c r="I507" t="s">
        <v>397</v>
      </c>
    </row>
    <row r="508" spans="1:9" x14ac:dyDescent="0.3">
      <c r="A508" t="s">
        <v>564</v>
      </c>
      <c r="C508" t="s">
        <v>393</v>
      </c>
      <c r="E508" s="2" t="s">
        <v>496</v>
      </c>
      <c r="G508" s="2" t="s">
        <v>432</v>
      </c>
      <c r="I508" t="s">
        <v>398</v>
      </c>
    </row>
    <row r="509" spans="1:9" x14ac:dyDescent="0.3">
      <c r="A509" t="s">
        <v>1467</v>
      </c>
      <c r="C509" t="s">
        <v>89</v>
      </c>
      <c r="E509" s="2" t="s">
        <v>497</v>
      </c>
      <c r="G509" s="2" t="s">
        <v>433</v>
      </c>
      <c r="I509" t="s">
        <v>401</v>
      </c>
    </row>
    <row r="510" spans="1:9" x14ac:dyDescent="0.3">
      <c r="C510" t="s">
        <v>394</v>
      </c>
      <c r="E510" s="2" t="s">
        <v>498</v>
      </c>
      <c r="G510" s="2" t="s">
        <v>434</v>
      </c>
      <c r="I510" t="s">
        <v>1486</v>
      </c>
    </row>
    <row r="511" spans="1:9" x14ac:dyDescent="0.3">
      <c r="A511" t="s">
        <v>422</v>
      </c>
      <c r="C511" t="s">
        <v>395</v>
      </c>
      <c r="E511" s="2" t="s">
        <v>3021</v>
      </c>
      <c r="G511" s="2" t="s">
        <v>435</v>
      </c>
    </row>
    <row r="512" spans="1:9" x14ac:dyDescent="0.3">
      <c r="A512" t="s">
        <v>423</v>
      </c>
      <c r="C512" t="s">
        <v>396</v>
      </c>
      <c r="E512" s="2"/>
      <c r="G512" s="2" t="s">
        <v>436</v>
      </c>
    </row>
    <row r="513" spans="1:9" x14ac:dyDescent="0.3">
      <c r="A513" t="s">
        <v>424</v>
      </c>
      <c r="C513" t="s">
        <v>397</v>
      </c>
      <c r="E513" s="2"/>
      <c r="G513" s="2" t="s">
        <v>437</v>
      </c>
      <c r="I513" t="s">
        <v>521</v>
      </c>
    </row>
    <row r="514" spans="1:9" x14ac:dyDescent="0.3">
      <c r="A514" t="s">
        <v>425</v>
      </c>
      <c r="C514" t="s">
        <v>398</v>
      </c>
      <c r="E514" s="2" t="s">
        <v>501</v>
      </c>
      <c r="G514" s="2" t="s">
        <v>438</v>
      </c>
      <c r="I514" t="s">
        <v>1467</v>
      </c>
    </row>
    <row r="515" spans="1:9" x14ac:dyDescent="0.3">
      <c r="A515" t="s">
        <v>426</v>
      </c>
      <c r="C515" t="s">
        <v>399</v>
      </c>
      <c r="E515" s="2" t="s">
        <v>1467</v>
      </c>
      <c r="G515" s="2" t="s">
        <v>3955</v>
      </c>
    </row>
    <row r="516" spans="1:9" x14ac:dyDescent="0.3">
      <c r="A516" t="s">
        <v>427</v>
      </c>
      <c r="E516" s="2"/>
      <c r="G516" s="2"/>
      <c r="I516" t="s">
        <v>3160</v>
      </c>
    </row>
    <row r="517" spans="1:9" x14ac:dyDescent="0.3">
      <c r="A517" t="s">
        <v>428</v>
      </c>
      <c r="E517" s="2" t="s">
        <v>3159</v>
      </c>
      <c r="G517" s="2"/>
    </row>
    <row r="518" spans="1:9" x14ac:dyDescent="0.3">
      <c r="A518" t="s">
        <v>429</v>
      </c>
      <c r="C518" t="s">
        <v>400</v>
      </c>
      <c r="E518" s="2"/>
      <c r="G518" s="2" t="s">
        <v>318</v>
      </c>
      <c r="I518" t="s">
        <v>395</v>
      </c>
    </row>
    <row r="519" spans="1:9" x14ac:dyDescent="0.3">
      <c r="A519" t="s">
        <v>430</v>
      </c>
      <c r="C519" t="s">
        <v>1467</v>
      </c>
      <c r="E519" s="2" t="s">
        <v>502</v>
      </c>
      <c r="G519" s="2" t="s">
        <v>1467</v>
      </c>
      <c r="I519" t="s">
        <v>396</v>
      </c>
    </row>
    <row r="520" spans="1:9" x14ac:dyDescent="0.3">
      <c r="A520" t="s">
        <v>431</v>
      </c>
      <c r="E520" s="2" t="s">
        <v>503</v>
      </c>
      <c r="G520" s="2"/>
      <c r="I520" t="s">
        <v>397</v>
      </c>
    </row>
    <row r="521" spans="1:9" x14ac:dyDescent="0.3">
      <c r="A521" t="s">
        <v>432</v>
      </c>
      <c r="C521" t="s">
        <v>3154</v>
      </c>
      <c r="E521" s="2" t="s">
        <v>504</v>
      </c>
      <c r="G521" s="2" t="s">
        <v>3150</v>
      </c>
      <c r="I521" t="s">
        <v>398</v>
      </c>
    </row>
    <row r="522" spans="1:9" x14ac:dyDescent="0.3">
      <c r="A522" t="s">
        <v>1488</v>
      </c>
      <c r="E522" s="2" t="s">
        <v>89</v>
      </c>
      <c r="G522" s="2"/>
      <c r="I522" t="s">
        <v>401</v>
      </c>
    </row>
    <row r="523" spans="1:9" x14ac:dyDescent="0.3">
      <c r="C523" t="s">
        <v>394</v>
      </c>
      <c r="E523" s="2" t="s">
        <v>505</v>
      </c>
      <c r="G523" s="11" t="s">
        <v>433</v>
      </c>
      <c r="I523" t="s">
        <v>402</v>
      </c>
    </row>
    <row r="524" spans="1:9" x14ac:dyDescent="0.3">
      <c r="C524" t="s">
        <v>395</v>
      </c>
      <c r="E524" s="11" t="s">
        <v>3477</v>
      </c>
      <c r="G524" s="11" t="s">
        <v>434</v>
      </c>
      <c r="I524" t="s">
        <v>403</v>
      </c>
    </row>
    <row r="525" spans="1:9" x14ac:dyDescent="0.3">
      <c r="A525" t="s">
        <v>584</v>
      </c>
      <c r="C525" t="s">
        <v>396</v>
      </c>
      <c r="E525" s="11" t="s">
        <v>508</v>
      </c>
      <c r="G525" s="2" t="s">
        <v>435</v>
      </c>
      <c r="I525" t="s">
        <v>404</v>
      </c>
    </row>
    <row r="526" spans="1:9" x14ac:dyDescent="0.3">
      <c r="A526" t="s">
        <v>1467</v>
      </c>
      <c r="C526" t="s">
        <v>397</v>
      </c>
      <c r="E526" s="2" t="s">
        <v>509</v>
      </c>
      <c r="G526" s="2" t="s">
        <v>436</v>
      </c>
      <c r="I526" t="s">
        <v>1487</v>
      </c>
    </row>
    <row r="527" spans="1:9" x14ac:dyDescent="0.3">
      <c r="C527" t="s">
        <v>398</v>
      </c>
      <c r="E527" s="2" t="s">
        <v>510</v>
      </c>
      <c r="G527" s="11" t="s">
        <v>437</v>
      </c>
    </row>
    <row r="528" spans="1:9" x14ac:dyDescent="0.3">
      <c r="A528" t="s">
        <v>434</v>
      </c>
      <c r="C528" t="s">
        <v>401</v>
      </c>
      <c r="E528" s="11" t="s">
        <v>511</v>
      </c>
      <c r="G528" s="2" t="s">
        <v>438</v>
      </c>
    </row>
    <row r="529" spans="1:9" x14ac:dyDescent="0.3">
      <c r="A529" t="s">
        <v>435</v>
      </c>
      <c r="C529" t="s">
        <v>402</v>
      </c>
      <c r="E529" s="2" t="s">
        <v>512</v>
      </c>
      <c r="G529" s="11" t="s">
        <v>439</v>
      </c>
      <c r="I529" t="s">
        <v>543</v>
      </c>
    </row>
    <row r="530" spans="1:9" x14ac:dyDescent="0.3">
      <c r="A530" t="s">
        <v>436</v>
      </c>
      <c r="C530" t="s">
        <v>403</v>
      </c>
      <c r="E530" s="2" t="s">
        <v>513</v>
      </c>
      <c r="G530" s="2" t="s">
        <v>442</v>
      </c>
      <c r="I530" t="s">
        <v>1467</v>
      </c>
    </row>
    <row r="531" spans="1:9" x14ac:dyDescent="0.3">
      <c r="A531" t="s">
        <v>437</v>
      </c>
      <c r="C531" t="s">
        <v>404</v>
      </c>
      <c r="E531" s="2" t="s">
        <v>514</v>
      </c>
      <c r="G531" s="2" t="s">
        <v>443</v>
      </c>
    </row>
    <row r="532" spans="1:9" x14ac:dyDescent="0.3">
      <c r="A532" t="s">
        <v>438</v>
      </c>
      <c r="C532" t="s">
        <v>405</v>
      </c>
      <c r="E532" s="2" t="s">
        <v>3022</v>
      </c>
      <c r="G532" s="2" t="s">
        <v>444</v>
      </c>
      <c r="I532" t="s">
        <v>3161</v>
      </c>
    </row>
    <row r="533" spans="1:9" x14ac:dyDescent="0.3">
      <c r="A533" t="s">
        <v>439</v>
      </c>
      <c r="C533" t="s">
        <v>406</v>
      </c>
      <c r="E533" s="2" t="s">
        <v>517</v>
      </c>
      <c r="G533" s="2" t="s">
        <v>445</v>
      </c>
    </row>
    <row r="534" spans="1:9" x14ac:dyDescent="0.3">
      <c r="A534" t="s">
        <v>442</v>
      </c>
      <c r="C534" t="s">
        <v>407</v>
      </c>
      <c r="E534" s="2" t="s">
        <v>518</v>
      </c>
      <c r="G534" s="2" t="s">
        <v>446</v>
      </c>
      <c r="I534" t="s">
        <v>406</v>
      </c>
    </row>
    <row r="535" spans="1:9" x14ac:dyDescent="0.3">
      <c r="A535" t="s">
        <v>443</v>
      </c>
      <c r="C535" t="s">
        <v>156</v>
      </c>
      <c r="E535" s="2" t="s">
        <v>3023</v>
      </c>
      <c r="G535" s="2" t="s">
        <v>447</v>
      </c>
      <c r="I535" t="s">
        <v>407</v>
      </c>
    </row>
    <row r="536" spans="1:9" x14ac:dyDescent="0.3">
      <c r="A536" t="s">
        <v>444</v>
      </c>
      <c r="C536" t="s">
        <v>408</v>
      </c>
      <c r="E536" s="2"/>
      <c r="G536" s="2" t="s">
        <v>448</v>
      </c>
      <c r="I536" t="s">
        <v>156</v>
      </c>
    </row>
    <row r="537" spans="1:9" x14ac:dyDescent="0.3">
      <c r="A537" t="s">
        <v>445</v>
      </c>
      <c r="C537" t="s">
        <v>409</v>
      </c>
      <c r="E537" s="2"/>
      <c r="G537" s="2" t="s">
        <v>89</v>
      </c>
      <c r="I537" t="s">
        <v>408</v>
      </c>
    </row>
    <row r="538" spans="1:9" x14ac:dyDescent="0.3">
      <c r="A538" t="s">
        <v>446</v>
      </c>
      <c r="C538" t="s">
        <v>410</v>
      </c>
      <c r="E538" s="2" t="s">
        <v>521</v>
      </c>
      <c r="G538" s="2" t="s">
        <v>449</v>
      </c>
      <c r="I538" t="s">
        <v>409</v>
      </c>
    </row>
    <row r="539" spans="1:9" x14ac:dyDescent="0.3">
      <c r="A539" t="s">
        <v>447</v>
      </c>
      <c r="C539" t="s">
        <v>411</v>
      </c>
      <c r="E539" s="2" t="s">
        <v>1467</v>
      </c>
      <c r="G539" s="2" t="s">
        <v>450</v>
      </c>
      <c r="I539" t="s">
        <v>410</v>
      </c>
    </row>
    <row r="540" spans="1:9" x14ac:dyDescent="0.3">
      <c r="A540" t="s">
        <v>448</v>
      </c>
      <c r="C540" t="s">
        <v>412</v>
      </c>
      <c r="E540" s="2"/>
      <c r="G540" s="2" t="s">
        <v>451</v>
      </c>
      <c r="I540" t="s">
        <v>411</v>
      </c>
    </row>
    <row r="541" spans="1:9" x14ac:dyDescent="0.3">
      <c r="A541" t="s">
        <v>89</v>
      </c>
      <c r="C541" t="s">
        <v>413</v>
      </c>
      <c r="E541" s="2" t="s">
        <v>3160</v>
      </c>
      <c r="G541" s="2" t="s">
        <v>452</v>
      </c>
      <c r="I541" t="s">
        <v>412</v>
      </c>
    </row>
    <row r="542" spans="1:9" x14ac:dyDescent="0.3">
      <c r="A542" t="s">
        <v>449</v>
      </c>
      <c r="C542" t="s">
        <v>414</v>
      </c>
      <c r="E542" s="2"/>
      <c r="G542" s="2" t="s">
        <v>453</v>
      </c>
      <c r="I542" t="s">
        <v>413</v>
      </c>
    </row>
    <row r="543" spans="1:9" x14ac:dyDescent="0.3">
      <c r="A543" t="s">
        <v>450</v>
      </c>
      <c r="C543" t="s">
        <v>415</v>
      </c>
      <c r="E543" s="2" t="s">
        <v>522</v>
      </c>
      <c r="G543" s="2" t="s">
        <v>454</v>
      </c>
      <c r="I543" t="s">
        <v>414</v>
      </c>
    </row>
    <row r="544" spans="1:9" x14ac:dyDescent="0.3">
      <c r="A544" t="s">
        <v>451</v>
      </c>
      <c r="C544" t="s">
        <v>416</v>
      </c>
      <c r="E544" s="2" t="s">
        <v>523</v>
      </c>
      <c r="G544" s="2" t="s">
        <v>455</v>
      </c>
      <c r="I544" t="s">
        <v>415</v>
      </c>
    </row>
    <row r="545" spans="1:9" x14ac:dyDescent="0.3">
      <c r="A545" t="s">
        <v>452</v>
      </c>
      <c r="C545" t="s">
        <v>417</v>
      </c>
      <c r="E545" s="2" t="s">
        <v>524</v>
      </c>
      <c r="G545" s="2" t="s">
        <v>456</v>
      </c>
      <c r="I545" t="s">
        <v>416</v>
      </c>
    </row>
    <row r="546" spans="1:9" x14ac:dyDescent="0.3">
      <c r="A546" t="s">
        <v>453</v>
      </c>
      <c r="C546" t="s">
        <v>418</v>
      </c>
      <c r="E546" s="2" t="s">
        <v>525</v>
      </c>
      <c r="G546" s="2" t="s">
        <v>457</v>
      </c>
      <c r="I546" t="s">
        <v>417</v>
      </c>
    </row>
    <row r="547" spans="1:9" x14ac:dyDescent="0.3">
      <c r="A547" t="s">
        <v>454</v>
      </c>
      <c r="C547" t="s">
        <v>419</v>
      </c>
      <c r="E547" s="2" t="s">
        <v>526</v>
      </c>
      <c r="G547" s="2" t="s">
        <v>458</v>
      </c>
      <c r="I547" t="s">
        <v>418</v>
      </c>
    </row>
    <row r="548" spans="1:9" x14ac:dyDescent="0.3">
      <c r="A548" t="s">
        <v>455</v>
      </c>
      <c r="C548" t="s">
        <v>89</v>
      </c>
      <c r="E548" s="11" t="s">
        <v>527</v>
      </c>
      <c r="G548" s="2" t="s">
        <v>461</v>
      </c>
      <c r="I548" t="s">
        <v>419</v>
      </c>
    </row>
    <row r="549" spans="1:9" x14ac:dyDescent="0.3">
      <c r="A549" t="s">
        <v>456</v>
      </c>
      <c r="C549" t="s">
        <v>420</v>
      </c>
      <c r="E549" s="11" t="s">
        <v>3478</v>
      </c>
      <c r="G549" s="2" t="s">
        <v>462</v>
      </c>
      <c r="I549" t="s">
        <v>725</v>
      </c>
    </row>
    <row r="550" spans="1:9" x14ac:dyDescent="0.3">
      <c r="A550" t="s">
        <v>457</v>
      </c>
      <c r="E550" s="2" t="s">
        <v>530</v>
      </c>
      <c r="G550" s="2" t="s">
        <v>463</v>
      </c>
    </row>
    <row r="551" spans="1:9" x14ac:dyDescent="0.3">
      <c r="A551" t="s">
        <v>458</v>
      </c>
      <c r="E551" s="2" t="s">
        <v>3024</v>
      </c>
      <c r="G551" s="2" t="s">
        <v>464</v>
      </c>
    </row>
    <row r="552" spans="1:9" x14ac:dyDescent="0.3">
      <c r="A552" t="s">
        <v>459</v>
      </c>
      <c r="C552" t="s">
        <v>421</v>
      </c>
      <c r="E552" s="11" t="s">
        <v>532</v>
      </c>
      <c r="G552" s="2" t="s">
        <v>465</v>
      </c>
      <c r="I552" t="s">
        <v>564</v>
      </c>
    </row>
    <row r="553" spans="1:9" x14ac:dyDescent="0.3">
      <c r="C553" t="s">
        <v>1467</v>
      </c>
      <c r="E553" s="2" t="s">
        <v>533</v>
      </c>
      <c r="G553" s="2" t="s">
        <v>466</v>
      </c>
      <c r="I553" t="s">
        <v>1467</v>
      </c>
    </row>
    <row r="554" spans="1:9" x14ac:dyDescent="0.3">
      <c r="E554" s="2" t="s">
        <v>534</v>
      </c>
      <c r="G554" s="2" t="s">
        <v>467</v>
      </c>
    </row>
    <row r="555" spans="1:9" x14ac:dyDescent="0.3">
      <c r="A555" t="s">
        <v>603</v>
      </c>
      <c r="C555" t="s">
        <v>3155</v>
      </c>
      <c r="E555" s="2" t="s">
        <v>535</v>
      </c>
      <c r="G555" s="2" t="s">
        <v>468</v>
      </c>
      <c r="I555" t="s">
        <v>3162</v>
      </c>
    </row>
    <row r="556" spans="1:9" x14ac:dyDescent="0.3">
      <c r="A556" t="s">
        <v>1467</v>
      </c>
      <c r="E556" s="2" t="s">
        <v>3025</v>
      </c>
      <c r="G556" s="2" t="s">
        <v>469</v>
      </c>
    </row>
    <row r="557" spans="1:9" x14ac:dyDescent="0.3">
      <c r="C557" t="s">
        <v>415</v>
      </c>
      <c r="E557" s="2" t="s">
        <v>538</v>
      </c>
      <c r="G557" s="2" t="s">
        <v>3956</v>
      </c>
      <c r="I557" t="s">
        <v>422</v>
      </c>
    </row>
    <row r="558" spans="1:9" x14ac:dyDescent="0.3">
      <c r="A558" t="s">
        <v>462</v>
      </c>
      <c r="C558" t="s">
        <v>416</v>
      </c>
      <c r="E558" s="2" t="s">
        <v>539</v>
      </c>
      <c r="G558" s="2"/>
      <c r="I558" t="s">
        <v>423</v>
      </c>
    </row>
    <row r="559" spans="1:9" x14ac:dyDescent="0.3">
      <c r="A559" t="s">
        <v>463</v>
      </c>
      <c r="C559" t="s">
        <v>417</v>
      </c>
      <c r="E559" s="2" t="s">
        <v>540</v>
      </c>
      <c r="G559" s="2"/>
      <c r="I559" t="s">
        <v>424</v>
      </c>
    </row>
    <row r="560" spans="1:9" x14ac:dyDescent="0.3">
      <c r="A560" t="s">
        <v>464</v>
      </c>
      <c r="C560" t="s">
        <v>418</v>
      </c>
      <c r="E560" s="2" t="s">
        <v>3026</v>
      </c>
      <c r="G560" s="2" t="s">
        <v>338</v>
      </c>
      <c r="I560" t="s">
        <v>425</v>
      </c>
    </row>
    <row r="561" spans="1:9" x14ac:dyDescent="0.3">
      <c r="A561" t="s">
        <v>465</v>
      </c>
      <c r="C561" t="s">
        <v>419</v>
      </c>
      <c r="E561" s="2" t="s">
        <v>545</v>
      </c>
      <c r="G561" s="2" t="s">
        <v>1467</v>
      </c>
      <c r="I561" t="s">
        <v>426</v>
      </c>
    </row>
    <row r="562" spans="1:9" x14ac:dyDescent="0.3">
      <c r="A562" t="s">
        <v>466</v>
      </c>
      <c r="C562" t="s">
        <v>89</v>
      </c>
      <c r="E562" s="2" t="s">
        <v>3027</v>
      </c>
      <c r="G562" s="2"/>
      <c r="I562" t="s">
        <v>427</v>
      </c>
    </row>
    <row r="563" spans="1:9" x14ac:dyDescent="0.3">
      <c r="A563" t="s">
        <v>467</v>
      </c>
      <c r="C563" t="s">
        <v>422</v>
      </c>
      <c r="E563" s="2"/>
      <c r="G563" s="2" t="s">
        <v>3151</v>
      </c>
      <c r="I563" t="s">
        <v>428</v>
      </c>
    </row>
    <row r="564" spans="1:9" x14ac:dyDescent="0.3">
      <c r="A564" t="s">
        <v>468</v>
      </c>
      <c r="C564" t="s">
        <v>423</v>
      </c>
      <c r="E564" s="2"/>
      <c r="G564" s="2"/>
      <c r="I564" t="s">
        <v>429</v>
      </c>
    </row>
    <row r="565" spans="1:9" x14ac:dyDescent="0.3">
      <c r="A565" t="s">
        <v>469</v>
      </c>
      <c r="C565" t="s">
        <v>424</v>
      </c>
      <c r="E565" s="2" t="s">
        <v>543</v>
      </c>
      <c r="G565" s="11" t="s">
        <v>465</v>
      </c>
      <c r="I565" t="s">
        <v>430</v>
      </c>
    </row>
    <row r="566" spans="1:9" x14ac:dyDescent="0.3">
      <c r="A566" t="s">
        <v>470</v>
      </c>
      <c r="C566" t="s">
        <v>425</v>
      </c>
      <c r="E566" s="2" t="s">
        <v>1467</v>
      </c>
      <c r="G566" s="11" t="s">
        <v>466</v>
      </c>
      <c r="I566" t="s">
        <v>431</v>
      </c>
    </row>
    <row r="567" spans="1:9" x14ac:dyDescent="0.3">
      <c r="A567" t="s">
        <v>471</v>
      </c>
      <c r="C567" t="s">
        <v>426</v>
      </c>
      <c r="E567" s="2"/>
      <c r="G567" s="2" t="s">
        <v>467</v>
      </c>
      <c r="I567" t="s">
        <v>432</v>
      </c>
    </row>
    <row r="568" spans="1:9" x14ac:dyDescent="0.3">
      <c r="A568" t="s">
        <v>472</v>
      </c>
      <c r="C568" t="s">
        <v>427</v>
      </c>
      <c r="E568" s="2" t="s">
        <v>3161</v>
      </c>
      <c r="G568" s="2" t="s">
        <v>468</v>
      </c>
      <c r="I568" t="s">
        <v>1488</v>
      </c>
    </row>
    <row r="569" spans="1:9" x14ac:dyDescent="0.3">
      <c r="A569" t="s">
        <v>473</v>
      </c>
      <c r="C569" t="s">
        <v>428</v>
      </c>
      <c r="E569" s="2"/>
      <c r="G569" s="11" t="s">
        <v>469</v>
      </c>
    </row>
    <row r="570" spans="1:9" x14ac:dyDescent="0.3">
      <c r="A570" t="s">
        <v>474</v>
      </c>
      <c r="C570" t="s">
        <v>429</v>
      </c>
      <c r="E570" s="11" t="s">
        <v>547</v>
      </c>
      <c r="G570" s="2" t="s">
        <v>470</v>
      </c>
    </row>
    <row r="571" spans="1:9" x14ac:dyDescent="0.3">
      <c r="A571" t="s">
        <v>475</v>
      </c>
      <c r="C571" t="s">
        <v>430</v>
      </c>
      <c r="E571" s="11" t="s">
        <v>3028</v>
      </c>
      <c r="G571" s="11" t="s">
        <v>471</v>
      </c>
      <c r="I571" t="s">
        <v>584</v>
      </c>
    </row>
    <row r="572" spans="1:9" x14ac:dyDescent="0.3">
      <c r="A572" t="s">
        <v>89</v>
      </c>
      <c r="C572" t="s">
        <v>431</v>
      </c>
      <c r="E572" s="2" t="s">
        <v>550</v>
      </c>
      <c r="G572" s="2" t="s">
        <v>472</v>
      </c>
      <c r="I572" t="s">
        <v>1467</v>
      </c>
    </row>
    <row r="573" spans="1:9" x14ac:dyDescent="0.3">
      <c r="A573" t="s">
        <v>476</v>
      </c>
      <c r="C573" t="s">
        <v>432</v>
      </c>
      <c r="E573" s="2" t="s">
        <v>551</v>
      </c>
      <c r="G573" s="2" t="s">
        <v>473</v>
      </c>
    </row>
    <row r="574" spans="1:9" x14ac:dyDescent="0.3">
      <c r="A574" t="s">
        <v>477</v>
      </c>
      <c r="C574" t="s">
        <v>433</v>
      </c>
      <c r="E574" s="11" t="s">
        <v>3479</v>
      </c>
      <c r="G574" s="2" t="s">
        <v>474</v>
      </c>
      <c r="I574" t="s">
        <v>3163</v>
      </c>
    </row>
    <row r="575" spans="1:9" x14ac:dyDescent="0.3">
      <c r="A575" t="s">
        <v>478</v>
      </c>
      <c r="C575" t="s">
        <v>434</v>
      </c>
      <c r="E575" s="2" t="s">
        <v>554</v>
      </c>
      <c r="G575" s="2" t="s">
        <v>475</v>
      </c>
    </row>
    <row r="576" spans="1:9" x14ac:dyDescent="0.3">
      <c r="A576" t="s">
        <v>479</v>
      </c>
      <c r="C576" t="s">
        <v>435</v>
      </c>
      <c r="E576" s="2" t="s">
        <v>555</v>
      </c>
      <c r="G576" s="2" t="s">
        <v>89</v>
      </c>
      <c r="I576" t="s">
        <v>434</v>
      </c>
    </row>
    <row r="577" spans="1:9" x14ac:dyDescent="0.3">
      <c r="A577" t="s">
        <v>482</v>
      </c>
      <c r="C577" t="s">
        <v>436</v>
      </c>
      <c r="E577" s="2" t="s">
        <v>3029</v>
      </c>
      <c r="G577" s="2" t="s">
        <v>476</v>
      </c>
      <c r="I577" t="s">
        <v>435</v>
      </c>
    </row>
    <row r="578" spans="1:9" x14ac:dyDescent="0.3">
      <c r="A578" t="s">
        <v>483</v>
      </c>
      <c r="C578" t="s">
        <v>437</v>
      </c>
      <c r="E578" s="2" t="s">
        <v>3030</v>
      </c>
      <c r="G578" s="2" t="s">
        <v>477</v>
      </c>
      <c r="I578" t="s">
        <v>436</v>
      </c>
    </row>
    <row r="579" spans="1:9" x14ac:dyDescent="0.3">
      <c r="A579" t="s">
        <v>484</v>
      </c>
      <c r="C579" t="s">
        <v>438</v>
      </c>
      <c r="E579" s="2" t="s">
        <v>559</v>
      </c>
      <c r="G579" s="2" t="s">
        <v>478</v>
      </c>
      <c r="I579" t="s">
        <v>437</v>
      </c>
    </row>
    <row r="580" spans="1:9" x14ac:dyDescent="0.3">
      <c r="A580" t="s">
        <v>485</v>
      </c>
      <c r="C580" t="s">
        <v>439</v>
      </c>
      <c r="E580" s="2" t="s">
        <v>560</v>
      </c>
      <c r="G580" s="2" t="s">
        <v>479</v>
      </c>
      <c r="I580" t="s">
        <v>438</v>
      </c>
    </row>
    <row r="581" spans="1:9" x14ac:dyDescent="0.3">
      <c r="A581" t="s">
        <v>1489</v>
      </c>
      <c r="C581" t="s">
        <v>440</v>
      </c>
      <c r="E581" s="2" t="s">
        <v>561</v>
      </c>
      <c r="G581" s="2" t="s">
        <v>482</v>
      </c>
      <c r="I581" t="s">
        <v>439</v>
      </c>
    </row>
    <row r="582" spans="1:9" x14ac:dyDescent="0.3">
      <c r="E582" s="2" t="s">
        <v>562</v>
      </c>
      <c r="G582" s="2" t="s">
        <v>483</v>
      </c>
      <c r="I582" t="s">
        <v>442</v>
      </c>
    </row>
    <row r="583" spans="1:9" x14ac:dyDescent="0.3">
      <c r="E583" s="11" t="s">
        <v>565</v>
      </c>
      <c r="G583" s="2" t="s">
        <v>484</v>
      </c>
      <c r="I583" t="s">
        <v>443</v>
      </c>
    </row>
    <row r="584" spans="1:9" x14ac:dyDescent="0.3">
      <c r="A584" t="s">
        <v>624</v>
      </c>
      <c r="C584" t="s">
        <v>441</v>
      </c>
      <c r="E584" s="11" t="s">
        <v>566</v>
      </c>
      <c r="G584" s="2" t="s">
        <v>485</v>
      </c>
      <c r="I584" t="s">
        <v>444</v>
      </c>
    </row>
    <row r="585" spans="1:9" x14ac:dyDescent="0.3">
      <c r="A585" t="s">
        <v>1467</v>
      </c>
      <c r="C585" t="s">
        <v>1467</v>
      </c>
      <c r="E585" s="2" t="s">
        <v>3031</v>
      </c>
      <c r="G585" s="2" t="s">
        <v>486</v>
      </c>
      <c r="I585" t="s">
        <v>445</v>
      </c>
    </row>
    <row r="586" spans="1:9" x14ac:dyDescent="0.3">
      <c r="E586" s="2" t="s">
        <v>569</v>
      </c>
      <c r="G586" s="2" t="s">
        <v>487</v>
      </c>
      <c r="I586" t="s">
        <v>446</v>
      </c>
    </row>
    <row r="587" spans="1:9" x14ac:dyDescent="0.3">
      <c r="A587" t="s">
        <v>482</v>
      </c>
      <c r="C587" t="s">
        <v>3156</v>
      </c>
      <c r="E587" s="11" t="s">
        <v>570</v>
      </c>
      <c r="G587" s="2" t="s">
        <v>488</v>
      </c>
      <c r="I587" t="s">
        <v>447</v>
      </c>
    </row>
    <row r="588" spans="1:9" x14ac:dyDescent="0.3">
      <c r="A588" t="s">
        <v>483</v>
      </c>
      <c r="E588" s="2" t="s">
        <v>3032</v>
      </c>
      <c r="G588" s="2" t="s">
        <v>489</v>
      </c>
      <c r="I588" t="s">
        <v>448</v>
      </c>
    </row>
    <row r="589" spans="1:9" x14ac:dyDescent="0.3">
      <c r="A589" t="s">
        <v>484</v>
      </c>
      <c r="C589" t="s">
        <v>435</v>
      </c>
      <c r="E589" s="2"/>
      <c r="G589" s="2" t="s">
        <v>490</v>
      </c>
      <c r="I589" t="s">
        <v>89</v>
      </c>
    </row>
    <row r="590" spans="1:9" x14ac:dyDescent="0.3">
      <c r="A590" t="s">
        <v>485</v>
      </c>
      <c r="C590" t="s">
        <v>436</v>
      </c>
      <c r="E590" s="2"/>
      <c r="G590" s="2" t="s">
        <v>491</v>
      </c>
      <c r="I590" t="s">
        <v>449</v>
      </c>
    </row>
    <row r="591" spans="1:9" x14ac:dyDescent="0.3">
      <c r="A591" t="s">
        <v>486</v>
      </c>
      <c r="C591" t="s">
        <v>437</v>
      </c>
      <c r="E591" s="2" t="s">
        <v>564</v>
      </c>
      <c r="G591" s="2" t="s">
        <v>492</v>
      </c>
      <c r="I591" t="s">
        <v>450</v>
      </c>
    </row>
    <row r="592" spans="1:9" x14ac:dyDescent="0.3">
      <c r="A592" t="s">
        <v>487</v>
      </c>
      <c r="C592" t="s">
        <v>438</v>
      </c>
      <c r="E592" s="2" t="s">
        <v>1467</v>
      </c>
      <c r="G592" s="2" t="s">
        <v>493</v>
      </c>
      <c r="I592" t="s">
        <v>451</v>
      </c>
    </row>
    <row r="593" spans="1:9" x14ac:dyDescent="0.3">
      <c r="A593" t="s">
        <v>488</v>
      </c>
      <c r="C593" t="s">
        <v>439</v>
      </c>
      <c r="E593" s="2"/>
      <c r="G593" s="2" t="s">
        <v>494</v>
      </c>
      <c r="I593" t="s">
        <v>452</v>
      </c>
    </row>
    <row r="594" spans="1:9" x14ac:dyDescent="0.3">
      <c r="A594" t="s">
        <v>489</v>
      </c>
      <c r="C594" t="s">
        <v>442</v>
      </c>
      <c r="E594" s="2" t="s">
        <v>3162</v>
      </c>
      <c r="G594" s="2" t="s">
        <v>495</v>
      </c>
      <c r="I594" t="s">
        <v>453</v>
      </c>
    </row>
    <row r="595" spans="1:9" x14ac:dyDescent="0.3">
      <c r="A595" t="s">
        <v>490</v>
      </c>
      <c r="C595" t="s">
        <v>443</v>
      </c>
      <c r="E595" s="2"/>
      <c r="G595" s="2" t="s">
        <v>496</v>
      </c>
      <c r="I595" t="s">
        <v>454</v>
      </c>
    </row>
    <row r="596" spans="1:9" x14ac:dyDescent="0.3">
      <c r="A596" t="s">
        <v>491</v>
      </c>
      <c r="C596" t="s">
        <v>444</v>
      </c>
      <c r="E596" s="2" t="s">
        <v>572</v>
      </c>
      <c r="G596" s="2" t="s">
        <v>497</v>
      </c>
      <c r="I596" t="s">
        <v>455</v>
      </c>
    </row>
    <row r="597" spans="1:9" x14ac:dyDescent="0.3">
      <c r="A597" t="s">
        <v>492</v>
      </c>
      <c r="C597" t="s">
        <v>445</v>
      </c>
      <c r="E597" s="2" t="s">
        <v>573</v>
      </c>
      <c r="G597" s="2" t="s">
        <v>498</v>
      </c>
      <c r="I597" t="s">
        <v>456</v>
      </c>
    </row>
    <row r="598" spans="1:9" x14ac:dyDescent="0.3">
      <c r="A598" t="s">
        <v>493</v>
      </c>
      <c r="C598" t="s">
        <v>446</v>
      </c>
      <c r="E598" s="2" t="s">
        <v>574</v>
      </c>
      <c r="G598" s="2" t="s">
        <v>499</v>
      </c>
      <c r="I598" t="s">
        <v>457</v>
      </c>
    </row>
    <row r="599" spans="1:9" x14ac:dyDescent="0.3">
      <c r="A599" t="s">
        <v>494</v>
      </c>
      <c r="C599" t="s">
        <v>447</v>
      </c>
      <c r="E599" s="2" t="s">
        <v>575</v>
      </c>
      <c r="G599" s="2" t="s">
        <v>500</v>
      </c>
      <c r="I599" t="s">
        <v>458</v>
      </c>
    </row>
    <row r="600" spans="1:9" x14ac:dyDescent="0.3">
      <c r="A600" t="s">
        <v>495</v>
      </c>
      <c r="C600" t="s">
        <v>448</v>
      </c>
      <c r="E600" s="2" t="s">
        <v>576</v>
      </c>
      <c r="G600" s="2"/>
      <c r="I600" t="s">
        <v>459</v>
      </c>
    </row>
    <row r="601" spans="1:9" x14ac:dyDescent="0.3">
      <c r="A601" t="s">
        <v>496</v>
      </c>
      <c r="C601" t="s">
        <v>89</v>
      </c>
      <c r="E601" s="2" t="s">
        <v>3033</v>
      </c>
      <c r="G601" s="2"/>
    </row>
    <row r="602" spans="1:9" x14ac:dyDescent="0.3">
      <c r="A602" t="s">
        <v>497</v>
      </c>
      <c r="C602" t="s">
        <v>449</v>
      </c>
      <c r="E602" s="2" t="s">
        <v>579</v>
      </c>
      <c r="G602" s="2" t="s">
        <v>362</v>
      </c>
    </row>
    <row r="603" spans="1:9" x14ac:dyDescent="0.3">
      <c r="A603" t="s">
        <v>498</v>
      </c>
      <c r="C603" t="s">
        <v>450</v>
      </c>
      <c r="E603" s="2" t="s">
        <v>580</v>
      </c>
      <c r="G603" s="2" t="s">
        <v>1467</v>
      </c>
      <c r="I603" t="s">
        <v>603</v>
      </c>
    </row>
    <row r="604" spans="1:9" x14ac:dyDescent="0.3">
      <c r="A604" t="s">
        <v>499</v>
      </c>
      <c r="C604" t="s">
        <v>451</v>
      </c>
      <c r="E604" s="2" t="s">
        <v>581</v>
      </c>
      <c r="G604" s="2"/>
      <c r="I604" t="s">
        <v>1467</v>
      </c>
    </row>
    <row r="605" spans="1:9" x14ac:dyDescent="0.3">
      <c r="A605" t="s">
        <v>502</v>
      </c>
      <c r="C605" t="s">
        <v>452</v>
      </c>
      <c r="E605" s="2" t="s">
        <v>582</v>
      </c>
      <c r="G605" s="2" t="s">
        <v>3152</v>
      </c>
    </row>
    <row r="606" spans="1:9" x14ac:dyDescent="0.3">
      <c r="A606" t="s">
        <v>503</v>
      </c>
      <c r="C606" t="s">
        <v>453</v>
      </c>
      <c r="E606" s="2" t="s">
        <v>585</v>
      </c>
      <c r="G606" s="2"/>
      <c r="I606" t="s">
        <v>3164</v>
      </c>
    </row>
    <row r="607" spans="1:9" x14ac:dyDescent="0.3">
      <c r="A607" t="s">
        <v>504</v>
      </c>
      <c r="C607" t="s">
        <v>454</v>
      </c>
      <c r="E607" s="2" t="s">
        <v>586</v>
      </c>
      <c r="G607" s="11" t="s">
        <v>495</v>
      </c>
    </row>
    <row r="608" spans="1:9" x14ac:dyDescent="0.3">
      <c r="A608" t="s">
        <v>89</v>
      </c>
      <c r="C608" t="s">
        <v>455</v>
      </c>
      <c r="E608" s="2" t="s">
        <v>587</v>
      </c>
      <c r="G608" s="11" t="s">
        <v>496</v>
      </c>
      <c r="I608" t="s">
        <v>462</v>
      </c>
    </row>
    <row r="609" spans="1:9" x14ac:dyDescent="0.3">
      <c r="A609" t="s">
        <v>505</v>
      </c>
      <c r="C609" t="s">
        <v>456</v>
      </c>
      <c r="E609" s="2" t="s">
        <v>89</v>
      </c>
      <c r="G609" s="2" t="s">
        <v>497</v>
      </c>
      <c r="I609" t="s">
        <v>463</v>
      </c>
    </row>
    <row r="610" spans="1:9" x14ac:dyDescent="0.3">
      <c r="A610" t="s">
        <v>1490</v>
      </c>
      <c r="C610" t="s">
        <v>457</v>
      </c>
      <c r="E610" s="2" t="s">
        <v>588</v>
      </c>
      <c r="G610" s="2" t="s">
        <v>498</v>
      </c>
      <c r="I610" t="s">
        <v>464</v>
      </c>
    </row>
    <row r="611" spans="1:9" x14ac:dyDescent="0.3">
      <c r="C611" t="s">
        <v>458</v>
      </c>
      <c r="E611" s="2" t="s">
        <v>589</v>
      </c>
      <c r="G611" s="11" t="s">
        <v>499</v>
      </c>
      <c r="I611" t="s">
        <v>465</v>
      </c>
    </row>
    <row r="612" spans="1:9" x14ac:dyDescent="0.3">
      <c r="C612" t="s">
        <v>459</v>
      </c>
      <c r="E612" s="2" t="s">
        <v>1495</v>
      </c>
      <c r="G612" s="2" t="s">
        <v>502</v>
      </c>
      <c r="I612" t="s">
        <v>466</v>
      </c>
    </row>
    <row r="613" spans="1:9" x14ac:dyDescent="0.3">
      <c r="A613" t="s">
        <v>646</v>
      </c>
      <c r="E613" s="2"/>
      <c r="G613" s="11" t="s">
        <v>503</v>
      </c>
      <c r="I613" t="s">
        <v>467</v>
      </c>
    </row>
    <row r="614" spans="1:9" x14ac:dyDescent="0.3">
      <c r="A614" t="s">
        <v>1467</v>
      </c>
      <c r="E614" s="2"/>
      <c r="G614" s="2" t="s">
        <v>504</v>
      </c>
      <c r="I614" t="s">
        <v>468</v>
      </c>
    </row>
    <row r="615" spans="1:9" x14ac:dyDescent="0.3">
      <c r="C615" t="s">
        <v>460</v>
      </c>
      <c r="E615" s="2" t="s">
        <v>584</v>
      </c>
      <c r="G615" s="2" t="s">
        <v>89</v>
      </c>
      <c r="I615" t="s">
        <v>469</v>
      </c>
    </row>
    <row r="616" spans="1:9" x14ac:dyDescent="0.3">
      <c r="A616" t="s">
        <v>499</v>
      </c>
      <c r="C616" t="s">
        <v>1467</v>
      </c>
      <c r="E616" s="2" t="s">
        <v>1467</v>
      </c>
      <c r="G616" s="2" t="s">
        <v>505</v>
      </c>
      <c r="I616" t="s">
        <v>470</v>
      </c>
    </row>
    <row r="617" spans="1:9" x14ac:dyDescent="0.3">
      <c r="A617" t="s">
        <v>502</v>
      </c>
      <c r="E617" s="2"/>
      <c r="G617" s="2" t="s">
        <v>506</v>
      </c>
      <c r="I617" t="s">
        <v>471</v>
      </c>
    </row>
    <row r="618" spans="1:9" x14ac:dyDescent="0.3">
      <c r="A618" t="s">
        <v>503</v>
      </c>
      <c r="C618" t="s">
        <v>3157</v>
      </c>
      <c r="E618" s="2" t="s">
        <v>3163</v>
      </c>
      <c r="G618" s="2" t="s">
        <v>507</v>
      </c>
      <c r="I618" t="s">
        <v>472</v>
      </c>
    </row>
    <row r="619" spans="1:9" x14ac:dyDescent="0.3">
      <c r="A619" t="s">
        <v>504</v>
      </c>
      <c r="E619" s="2"/>
      <c r="G619" s="2" t="s">
        <v>508</v>
      </c>
      <c r="I619" t="s">
        <v>473</v>
      </c>
    </row>
    <row r="620" spans="1:9" x14ac:dyDescent="0.3">
      <c r="A620" t="s">
        <v>89</v>
      </c>
      <c r="C620" t="s">
        <v>454</v>
      </c>
      <c r="E620" s="11" t="s">
        <v>591</v>
      </c>
      <c r="G620" s="2" t="s">
        <v>509</v>
      </c>
      <c r="I620" t="s">
        <v>474</v>
      </c>
    </row>
    <row r="621" spans="1:9" x14ac:dyDescent="0.3">
      <c r="A621" t="s">
        <v>505</v>
      </c>
      <c r="C621" t="s">
        <v>455</v>
      </c>
      <c r="E621" s="11" t="s">
        <v>592</v>
      </c>
      <c r="G621" s="2" t="s">
        <v>510</v>
      </c>
      <c r="I621" t="s">
        <v>475</v>
      </c>
    </row>
    <row r="622" spans="1:9" x14ac:dyDescent="0.3">
      <c r="A622" t="s">
        <v>506</v>
      </c>
      <c r="C622" t="s">
        <v>456</v>
      </c>
      <c r="E622" s="2" t="s">
        <v>593</v>
      </c>
      <c r="G622" s="2" t="s">
        <v>511</v>
      </c>
      <c r="I622" t="s">
        <v>89</v>
      </c>
    </row>
    <row r="623" spans="1:9" x14ac:dyDescent="0.3">
      <c r="A623" t="s">
        <v>507</v>
      </c>
      <c r="C623" t="s">
        <v>457</v>
      </c>
      <c r="E623" s="2" t="s">
        <v>594</v>
      </c>
      <c r="G623" s="2" t="s">
        <v>512</v>
      </c>
      <c r="I623" t="s">
        <v>476</v>
      </c>
    </row>
    <row r="624" spans="1:9" x14ac:dyDescent="0.3">
      <c r="A624" t="s">
        <v>508</v>
      </c>
      <c r="C624" t="s">
        <v>458</v>
      </c>
      <c r="E624" s="11" t="s">
        <v>595</v>
      </c>
      <c r="G624" s="2" t="s">
        <v>513</v>
      </c>
      <c r="I624" t="s">
        <v>477</v>
      </c>
    </row>
    <row r="625" spans="1:9" x14ac:dyDescent="0.3">
      <c r="A625" t="s">
        <v>509</v>
      </c>
      <c r="C625" t="s">
        <v>461</v>
      </c>
      <c r="E625" s="2" t="s">
        <v>596</v>
      </c>
      <c r="G625" s="2" t="s">
        <v>514</v>
      </c>
      <c r="I625" t="s">
        <v>478</v>
      </c>
    </row>
    <row r="626" spans="1:9" x14ac:dyDescent="0.3">
      <c r="A626" t="s">
        <v>510</v>
      </c>
      <c r="C626" t="s">
        <v>462</v>
      </c>
      <c r="E626" s="2" t="s">
        <v>597</v>
      </c>
      <c r="G626" s="2" t="s">
        <v>515</v>
      </c>
      <c r="I626" t="s">
        <v>479</v>
      </c>
    </row>
    <row r="627" spans="1:9" x14ac:dyDescent="0.3">
      <c r="A627" t="s">
        <v>511</v>
      </c>
      <c r="C627" t="s">
        <v>463</v>
      </c>
      <c r="E627" s="2" t="s">
        <v>3034</v>
      </c>
      <c r="G627" s="2" t="s">
        <v>516</v>
      </c>
      <c r="I627" t="s">
        <v>482</v>
      </c>
    </row>
    <row r="628" spans="1:9" x14ac:dyDescent="0.3">
      <c r="A628" t="s">
        <v>512</v>
      </c>
      <c r="C628" t="s">
        <v>464</v>
      </c>
      <c r="E628" s="2"/>
      <c r="G628" s="2" t="s">
        <v>517</v>
      </c>
      <c r="I628" t="s">
        <v>483</v>
      </c>
    </row>
    <row r="629" spans="1:9" x14ac:dyDescent="0.3">
      <c r="A629" t="s">
        <v>513</v>
      </c>
      <c r="C629" t="s">
        <v>465</v>
      </c>
      <c r="E629" s="2"/>
      <c r="G629" s="2" t="s">
        <v>518</v>
      </c>
      <c r="I629" t="s">
        <v>484</v>
      </c>
    </row>
    <row r="630" spans="1:9" x14ac:dyDescent="0.3">
      <c r="A630" t="s">
        <v>514</v>
      </c>
      <c r="C630" t="s">
        <v>466</v>
      </c>
      <c r="E630" s="2" t="s">
        <v>603</v>
      </c>
      <c r="G630" s="2" t="s">
        <v>519</v>
      </c>
      <c r="I630" t="s">
        <v>485</v>
      </c>
    </row>
    <row r="631" spans="1:9" x14ac:dyDescent="0.3">
      <c r="A631" t="s">
        <v>515</v>
      </c>
      <c r="C631" t="s">
        <v>467</v>
      </c>
      <c r="E631" s="2" t="s">
        <v>1467</v>
      </c>
      <c r="G631" s="2" t="s">
        <v>522</v>
      </c>
      <c r="I631" t="s">
        <v>1489</v>
      </c>
    </row>
    <row r="632" spans="1:9" x14ac:dyDescent="0.3">
      <c r="A632" t="s">
        <v>516</v>
      </c>
      <c r="C632" t="s">
        <v>468</v>
      </c>
      <c r="E632" s="2"/>
      <c r="G632" s="2" t="s">
        <v>523</v>
      </c>
    </row>
    <row r="633" spans="1:9" x14ac:dyDescent="0.3">
      <c r="A633" t="s">
        <v>517</v>
      </c>
      <c r="C633" t="s">
        <v>469</v>
      </c>
      <c r="E633" s="2" t="s">
        <v>3164</v>
      </c>
      <c r="G633" s="2" t="s">
        <v>524</v>
      </c>
    </row>
    <row r="634" spans="1:9" x14ac:dyDescent="0.3">
      <c r="A634" t="s">
        <v>518</v>
      </c>
      <c r="C634" t="s">
        <v>470</v>
      </c>
      <c r="E634" s="2"/>
      <c r="G634" s="2" t="s">
        <v>525</v>
      </c>
      <c r="I634" t="s">
        <v>624</v>
      </c>
    </row>
    <row r="635" spans="1:9" x14ac:dyDescent="0.3">
      <c r="A635" t="s">
        <v>519</v>
      </c>
      <c r="C635" t="s">
        <v>471</v>
      </c>
      <c r="E635" s="2" t="s">
        <v>599</v>
      </c>
      <c r="G635" s="2" t="s">
        <v>526</v>
      </c>
      <c r="I635" t="s">
        <v>1467</v>
      </c>
    </row>
    <row r="636" spans="1:9" x14ac:dyDescent="0.3">
      <c r="A636" t="s">
        <v>522</v>
      </c>
      <c r="C636" t="s">
        <v>472</v>
      </c>
      <c r="E636" s="2" t="s">
        <v>600</v>
      </c>
      <c r="G636" s="2" t="s">
        <v>527</v>
      </c>
    </row>
    <row r="637" spans="1:9" x14ac:dyDescent="0.3">
      <c r="A637" t="s">
        <v>523</v>
      </c>
      <c r="C637" t="s">
        <v>473</v>
      </c>
      <c r="E637" s="2" t="s">
        <v>601</v>
      </c>
      <c r="G637" s="2" t="s">
        <v>528</v>
      </c>
      <c r="I637" t="s">
        <v>3165</v>
      </c>
    </row>
    <row r="638" spans="1:9" x14ac:dyDescent="0.3">
      <c r="A638" t="s">
        <v>524</v>
      </c>
      <c r="C638" t="s">
        <v>474</v>
      </c>
      <c r="E638" s="2" t="s">
        <v>604</v>
      </c>
      <c r="G638" s="2" t="s">
        <v>529</v>
      </c>
    </row>
    <row r="639" spans="1:9" x14ac:dyDescent="0.3">
      <c r="A639" t="s">
        <v>525</v>
      </c>
      <c r="C639" t="s">
        <v>475</v>
      </c>
      <c r="E639" s="2" t="s">
        <v>605</v>
      </c>
      <c r="G639" s="2" t="s">
        <v>530</v>
      </c>
      <c r="I639" t="s">
        <v>482</v>
      </c>
    </row>
    <row r="640" spans="1:9" x14ac:dyDescent="0.3">
      <c r="A640" t="s">
        <v>1491</v>
      </c>
      <c r="C640" t="s">
        <v>89</v>
      </c>
      <c r="E640" s="2" t="s">
        <v>606</v>
      </c>
      <c r="G640" s="2" t="s">
        <v>531</v>
      </c>
      <c r="I640" t="s">
        <v>483</v>
      </c>
    </row>
    <row r="641" spans="1:9" x14ac:dyDescent="0.3">
      <c r="C641" t="s">
        <v>476</v>
      </c>
      <c r="E641" s="2" t="e">
        <f>- che siano presenti nello stesso luogo il presidente ed il</f>
        <v>#NAME?</v>
      </c>
      <c r="G641" s="2" t="s">
        <v>725</v>
      </c>
      <c r="I641" t="s">
        <v>484</v>
      </c>
    </row>
    <row r="642" spans="1:9" x14ac:dyDescent="0.3">
      <c r="C642" t="s">
        <v>477</v>
      </c>
      <c r="E642" s="2" t="s">
        <v>607</v>
      </c>
      <c r="G642" s="2"/>
      <c r="I642" t="s">
        <v>485</v>
      </c>
    </row>
    <row r="643" spans="1:9" x14ac:dyDescent="0.3">
      <c r="A643" t="s">
        <v>667</v>
      </c>
      <c r="C643" t="s">
        <v>478</v>
      </c>
      <c r="E643" s="2" t="s">
        <v>608</v>
      </c>
      <c r="G643" s="2"/>
      <c r="I643" t="s">
        <v>486</v>
      </c>
    </row>
    <row r="644" spans="1:9" x14ac:dyDescent="0.3">
      <c r="A644" t="s">
        <v>1467</v>
      </c>
      <c r="C644" t="s">
        <v>479</v>
      </c>
      <c r="E644" s="2" t="s">
        <v>609</v>
      </c>
      <c r="G644" s="2" t="s">
        <v>380</v>
      </c>
      <c r="I644" t="s">
        <v>487</v>
      </c>
    </row>
    <row r="645" spans="1:9" x14ac:dyDescent="0.3">
      <c r="C645" t="s">
        <v>480</v>
      </c>
      <c r="E645" s="2" t="s">
        <v>610</v>
      </c>
      <c r="G645" s="2" t="s">
        <v>1467</v>
      </c>
      <c r="I645" t="s">
        <v>488</v>
      </c>
    </row>
    <row r="646" spans="1:9" x14ac:dyDescent="0.3">
      <c r="A646" t="s">
        <v>519</v>
      </c>
      <c r="E646" s="11" t="s">
        <v>611</v>
      </c>
      <c r="G646" s="2"/>
      <c r="I646" t="s">
        <v>489</v>
      </c>
    </row>
    <row r="647" spans="1:9" x14ac:dyDescent="0.3">
      <c r="A647" t="s">
        <v>522</v>
      </c>
      <c r="E647" s="11" t="s">
        <v>612</v>
      </c>
      <c r="G647" s="2" t="s">
        <v>3153</v>
      </c>
      <c r="I647" t="s">
        <v>490</v>
      </c>
    </row>
    <row r="648" spans="1:9" x14ac:dyDescent="0.3">
      <c r="A648" t="s">
        <v>523</v>
      </c>
      <c r="C648" t="s">
        <v>481</v>
      </c>
      <c r="E648" s="2" t="s">
        <v>613</v>
      </c>
      <c r="G648" s="2"/>
      <c r="I648" t="s">
        <v>491</v>
      </c>
    </row>
    <row r="649" spans="1:9" x14ac:dyDescent="0.3">
      <c r="A649" t="s">
        <v>524</v>
      </c>
      <c r="C649" t="s">
        <v>1467</v>
      </c>
      <c r="E649" s="2" t="s">
        <v>89</v>
      </c>
      <c r="G649" s="11" t="s">
        <v>526</v>
      </c>
      <c r="I649" t="s">
        <v>492</v>
      </c>
    </row>
    <row r="650" spans="1:9" x14ac:dyDescent="0.3">
      <c r="A650" t="s">
        <v>525</v>
      </c>
      <c r="E650" s="11" t="s">
        <v>614</v>
      </c>
      <c r="G650" s="11" t="s">
        <v>527</v>
      </c>
      <c r="I650" t="s">
        <v>493</v>
      </c>
    </row>
    <row r="651" spans="1:9" x14ac:dyDescent="0.3">
      <c r="A651" t="s">
        <v>526</v>
      </c>
      <c r="C651" t="s">
        <v>3158</v>
      </c>
      <c r="E651" s="2" t="e">
        <f>- che sia consentito al soggetto verbalizzante di percepire</f>
        <v>#NAME?</v>
      </c>
      <c r="G651" s="2" t="s">
        <v>528</v>
      </c>
      <c r="I651" t="s">
        <v>494</v>
      </c>
    </row>
    <row r="652" spans="1:9" x14ac:dyDescent="0.3">
      <c r="A652" t="s">
        <v>527</v>
      </c>
      <c r="E652" s="2" t="s">
        <v>615</v>
      </c>
      <c r="G652" s="2" t="s">
        <v>529</v>
      </c>
      <c r="I652" t="s">
        <v>495</v>
      </c>
    </row>
    <row r="653" spans="1:9" x14ac:dyDescent="0.3">
      <c r="A653" t="s">
        <v>528</v>
      </c>
      <c r="C653" t="s">
        <v>475</v>
      </c>
      <c r="E653" s="2" t="s">
        <v>616</v>
      </c>
      <c r="G653" s="11" t="s">
        <v>530</v>
      </c>
      <c r="I653" t="s">
        <v>496</v>
      </c>
    </row>
    <row r="654" spans="1:9" x14ac:dyDescent="0.3">
      <c r="A654" t="s">
        <v>529</v>
      </c>
      <c r="C654" t="s">
        <v>89</v>
      </c>
      <c r="E654" s="2" t="s">
        <v>617</v>
      </c>
      <c r="G654" s="2" t="s">
        <v>531</v>
      </c>
      <c r="I654" t="s">
        <v>497</v>
      </c>
    </row>
    <row r="655" spans="1:9" x14ac:dyDescent="0.3">
      <c r="A655" t="s">
        <v>530</v>
      </c>
      <c r="C655" t="s">
        <v>476</v>
      </c>
      <c r="E655" s="2" t="s">
        <v>618</v>
      </c>
      <c r="G655" s="11" t="s">
        <v>89</v>
      </c>
      <c r="I655" t="s">
        <v>498</v>
      </c>
    </row>
    <row r="656" spans="1:9" x14ac:dyDescent="0.3">
      <c r="A656" t="s">
        <v>531</v>
      </c>
      <c r="C656" t="s">
        <v>477</v>
      </c>
      <c r="E656" s="2" t="s">
        <v>619</v>
      </c>
      <c r="G656" s="2" t="s">
        <v>532</v>
      </c>
      <c r="I656" t="s">
        <v>499</v>
      </c>
    </row>
    <row r="657" spans="1:9" x14ac:dyDescent="0.3">
      <c r="A657" t="s">
        <v>89</v>
      </c>
      <c r="C657" t="s">
        <v>478</v>
      </c>
      <c r="E657" s="2" t="s">
        <v>620</v>
      </c>
      <c r="G657" s="2" t="s">
        <v>533</v>
      </c>
      <c r="I657" t="s">
        <v>502</v>
      </c>
    </row>
    <row r="658" spans="1:9" x14ac:dyDescent="0.3">
      <c r="A658" t="s">
        <v>532</v>
      </c>
      <c r="C658" t="s">
        <v>479</v>
      </c>
      <c r="E658" s="2" t="s">
        <v>621</v>
      </c>
      <c r="G658" s="2" t="s">
        <v>534</v>
      </c>
      <c r="I658" t="s">
        <v>503</v>
      </c>
    </row>
    <row r="659" spans="1:9" x14ac:dyDescent="0.3">
      <c r="A659" t="s">
        <v>533</v>
      </c>
      <c r="C659" t="s">
        <v>482</v>
      </c>
      <c r="E659" s="2" t="s">
        <v>622</v>
      </c>
      <c r="G659" s="2" t="s">
        <v>535</v>
      </c>
      <c r="I659" t="s">
        <v>504</v>
      </c>
    </row>
    <row r="660" spans="1:9" x14ac:dyDescent="0.3">
      <c r="A660" t="s">
        <v>534</v>
      </c>
      <c r="C660" t="s">
        <v>483</v>
      </c>
      <c r="E660" s="2" t="s">
        <v>625</v>
      </c>
      <c r="G660" s="2" t="s">
        <v>536</v>
      </c>
      <c r="I660" t="s">
        <v>89</v>
      </c>
    </row>
    <row r="661" spans="1:9" x14ac:dyDescent="0.3">
      <c r="A661" t="s">
        <v>535</v>
      </c>
      <c r="C661" t="s">
        <v>484</v>
      </c>
      <c r="E661" s="2" t="s">
        <v>626</v>
      </c>
      <c r="G661" s="2" t="s">
        <v>537</v>
      </c>
      <c r="I661" t="s">
        <v>505</v>
      </c>
    </row>
    <row r="662" spans="1:9" x14ac:dyDescent="0.3">
      <c r="A662" t="s">
        <v>536</v>
      </c>
      <c r="C662" t="s">
        <v>485</v>
      </c>
      <c r="E662" s="2" t="s">
        <v>627</v>
      </c>
      <c r="G662" s="2" t="s">
        <v>538</v>
      </c>
      <c r="I662" t="s">
        <v>1490</v>
      </c>
    </row>
    <row r="663" spans="1:9" x14ac:dyDescent="0.3">
      <c r="A663" t="s">
        <v>537</v>
      </c>
      <c r="C663" t="s">
        <v>486</v>
      </c>
      <c r="E663" s="2" t="s">
        <v>628</v>
      </c>
      <c r="G663" s="2" t="s">
        <v>539</v>
      </c>
    </row>
    <row r="664" spans="1:9" x14ac:dyDescent="0.3">
      <c r="A664" t="s">
        <v>538</v>
      </c>
      <c r="C664" t="s">
        <v>487</v>
      </c>
      <c r="E664" s="2" t="s">
        <v>629</v>
      </c>
      <c r="G664" s="2" t="s">
        <v>540</v>
      </c>
    </row>
    <row r="665" spans="1:9" x14ac:dyDescent="0.3">
      <c r="A665" t="s">
        <v>539</v>
      </c>
      <c r="C665" t="s">
        <v>488</v>
      </c>
      <c r="E665" s="2" t="s">
        <v>630</v>
      </c>
      <c r="G665" s="2" t="s">
        <v>541</v>
      </c>
      <c r="I665" t="s">
        <v>646</v>
      </c>
    </row>
    <row r="666" spans="1:9" x14ac:dyDescent="0.3">
      <c r="A666" t="s">
        <v>540</v>
      </c>
      <c r="C666" t="s">
        <v>489</v>
      </c>
      <c r="E666" s="2" t="s">
        <v>3035</v>
      </c>
      <c r="G666" s="2" t="s">
        <v>544</v>
      </c>
      <c r="I666" t="s">
        <v>1467</v>
      </c>
    </row>
    <row r="667" spans="1:9" x14ac:dyDescent="0.3">
      <c r="A667" t="s">
        <v>1492</v>
      </c>
      <c r="C667" t="s">
        <v>490</v>
      </c>
      <c r="E667" s="2"/>
      <c r="G667" s="2" t="s">
        <v>545</v>
      </c>
    </row>
    <row r="668" spans="1:9" x14ac:dyDescent="0.3">
      <c r="C668" t="s">
        <v>491</v>
      </c>
      <c r="E668" s="11"/>
      <c r="G668" s="2" t="s">
        <v>546</v>
      </c>
      <c r="I668" t="s">
        <v>3166</v>
      </c>
    </row>
    <row r="669" spans="1:9" x14ac:dyDescent="0.3">
      <c r="C669" t="s">
        <v>492</v>
      </c>
      <c r="E669" s="11" t="s">
        <v>624</v>
      </c>
      <c r="G669" s="2" t="s">
        <v>547</v>
      </c>
    </row>
    <row r="670" spans="1:9" x14ac:dyDescent="0.3">
      <c r="A670" t="s">
        <v>686</v>
      </c>
      <c r="C670" t="s">
        <v>493</v>
      </c>
      <c r="E670" s="2" t="s">
        <v>1467</v>
      </c>
      <c r="G670" s="2" t="s">
        <v>548</v>
      </c>
      <c r="I670" t="s">
        <v>499</v>
      </c>
    </row>
    <row r="671" spans="1:9" x14ac:dyDescent="0.3">
      <c r="A671" t="s">
        <v>1467</v>
      </c>
      <c r="C671" t="s">
        <v>494</v>
      </c>
      <c r="E671" s="2"/>
      <c r="G671" s="2" t="s">
        <v>549</v>
      </c>
      <c r="I671" t="s">
        <v>502</v>
      </c>
    </row>
    <row r="672" spans="1:9" x14ac:dyDescent="0.3">
      <c r="C672" t="s">
        <v>495</v>
      </c>
      <c r="E672" s="11" t="s">
        <v>3165</v>
      </c>
      <c r="G672" s="2" t="s">
        <v>550</v>
      </c>
      <c r="I672" t="s">
        <v>503</v>
      </c>
    </row>
    <row r="673" spans="1:9" x14ac:dyDescent="0.3">
      <c r="A673" t="s">
        <v>544</v>
      </c>
      <c r="C673" t="s">
        <v>496</v>
      </c>
      <c r="E673" s="2"/>
      <c r="G673" s="2" t="s">
        <v>551</v>
      </c>
      <c r="I673" t="s">
        <v>504</v>
      </c>
    </row>
    <row r="674" spans="1:9" x14ac:dyDescent="0.3">
      <c r="A674" t="s">
        <v>545</v>
      </c>
      <c r="C674" t="s">
        <v>497</v>
      </c>
      <c r="E674" s="2" t="s">
        <v>632</v>
      </c>
      <c r="G674" s="2" t="s">
        <v>552</v>
      </c>
      <c r="I674" t="s">
        <v>89</v>
      </c>
    </row>
    <row r="675" spans="1:9" x14ac:dyDescent="0.3">
      <c r="A675" t="s">
        <v>546</v>
      </c>
      <c r="C675" t="s">
        <v>498</v>
      </c>
      <c r="E675" s="2" t="s">
        <v>633</v>
      </c>
      <c r="G675" s="2" t="s">
        <v>553</v>
      </c>
      <c r="I675" t="s">
        <v>505</v>
      </c>
    </row>
    <row r="676" spans="1:9" x14ac:dyDescent="0.3">
      <c r="A676" t="s">
        <v>547</v>
      </c>
      <c r="C676" t="s">
        <v>499</v>
      </c>
      <c r="E676" s="2" t="s">
        <v>634</v>
      </c>
      <c r="G676" s="2" t="s">
        <v>554</v>
      </c>
      <c r="I676" t="s">
        <v>506</v>
      </c>
    </row>
    <row r="677" spans="1:9" x14ac:dyDescent="0.3">
      <c r="A677" t="s">
        <v>1493</v>
      </c>
      <c r="C677" t="s">
        <v>500</v>
      </c>
      <c r="E677" s="2" t="s">
        <v>635</v>
      </c>
      <c r="G677" s="2" t="s">
        <v>555</v>
      </c>
      <c r="I677" t="s">
        <v>507</v>
      </c>
    </row>
    <row r="678" spans="1:9" x14ac:dyDescent="0.3">
      <c r="E678" s="2" t="s">
        <v>3036</v>
      </c>
      <c r="G678" s="2" t="s">
        <v>556</v>
      </c>
      <c r="I678" t="s">
        <v>508</v>
      </c>
    </row>
    <row r="679" spans="1:9" x14ac:dyDescent="0.3">
      <c r="E679" s="2" t="s">
        <v>638</v>
      </c>
      <c r="G679" s="2" t="s">
        <v>557</v>
      </c>
      <c r="I679" t="s">
        <v>509</v>
      </c>
    </row>
    <row r="680" spans="1:9" x14ac:dyDescent="0.3">
      <c r="A680" t="s">
        <v>707</v>
      </c>
      <c r="C680" t="s">
        <v>501</v>
      </c>
      <c r="E680" s="2" t="s">
        <v>639</v>
      </c>
      <c r="G680" s="2" t="s">
        <v>558</v>
      </c>
      <c r="I680" t="s">
        <v>510</v>
      </c>
    </row>
    <row r="681" spans="1:9" x14ac:dyDescent="0.3">
      <c r="A681" t="s">
        <v>1467</v>
      </c>
      <c r="C681" t="s">
        <v>1467</v>
      </c>
      <c r="E681" s="2" t="s">
        <v>89</v>
      </c>
      <c r="G681" s="2" t="s">
        <v>89</v>
      </c>
      <c r="I681" t="s">
        <v>511</v>
      </c>
    </row>
    <row r="682" spans="1:9" x14ac:dyDescent="0.3">
      <c r="E682" s="2" t="s">
        <v>640</v>
      </c>
      <c r="G682" s="2" t="s">
        <v>559</v>
      </c>
      <c r="I682" t="s">
        <v>512</v>
      </c>
    </row>
    <row r="683" spans="1:9" x14ac:dyDescent="0.3">
      <c r="A683" t="s">
        <v>549</v>
      </c>
      <c r="C683" t="s">
        <v>3159</v>
      </c>
      <c r="E683" s="2" t="s">
        <v>641</v>
      </c>
      <c r="G683" s="2" t="s">
        <v>560</v>
      </c>
      <c r="I683" t="s">
        <v>513</v>
      </c>
    </row>
    <row r="684" spans="1:9" x14ac:dyDescent="0.3">
      <c r="A684" t="s">
        <v>550</v>
      </c>
      <c r="E684" s="2" t="s">
        <v>642</v>
      </c>
      <c r="G684" s="2" t="s">
        <v>561</v>
      </c>
      <c r="I684" t="s">
        <v>514</v>
      </c>
    </row>
    <row r="685" spans="1:9" x14ac:dyDescent="0.3">
      <c r="A685" t="s">
        <v>551</v>
      </c>
      <c r="C685" t="s">
        <v>495</v>
      </c>
      <c r="E685" s="2" t="s">
        <v>3037</v>
      </c>
      <c r="G685" s="2" t="s">
        <v>562</v>
      </c>
      <c r="I685" t="s">
        <v>515</v>
      </c>
    </row>
    <row r="686" spans="1:9" x14ac:dyDescent="0.3">
      <c r="A686" t="s">
        <v>552</v>
      </c>
      <c r="C686" t="s">
        <v>496</v>
      </c>
      <c r="E686" s="2" t="s">
        <v>3038</v>
      </c>
      <c r="G686" s="2" t="s">
        <v>565</v>
      </c>
      <c r="I686" t="s">
        <v>516</v>
      </c>
    </row>
    <row r="687" spans="1:9" x14ac:dyDescent="0.3">
      <c r="A687" t="s">
        <v>553</v>
      </c>
      <c r="C687" t="s">
        <v>497</v>
      </c>
      <c r="E687" s="2" t="s">
        <v>3039</v>
      </c>
      <c r="G687" s="2" t="s">
        <v>566</v>
      </c>
      <c r="I687" t="s">
        <v>517</v>
      </c>
    </row>
    <row r="688" spans="1:9" x14ac:dyDescent="0.3">
      <c r="A688" t="s">
        <v>554</v>
      </c>
      <c r="C688" t="s">
        <v>498</v>
      </c>
      <c r="E688" s="2" t="s">
        <v>651</v>
      </c>
      <c r="G688" s="2" t="s">
        <v>3072</v>
      </c>
      <c r="I688" t="s">
        <v>518</v>
      </c>
    </row>
    <row r="689" spans="1:9" x14ac:dyDescent="0.3">
      <c r="A689" t="s">
        <v>555</v>
      </c>
      <c r="C689" t="s">
        <v>499</v>
      </c>
      <c r="E689" s="2" t="s">
        <v>652</v>
      </c>
      <c r="G689" s="2"/>
      <c r="I689" t="s">
        <v>519</v>
      </c>
    </row>
    <row r="690" spans="1:9" x14ac:dyDescent="0.3">
      <c r="A690" t="s">
        <v>556</v>
      </c>
      <c r="C690" t="s">
        <v>502</v>
      </c>
      <c r="E690" s="11" t="s">
        <v>653</v>
      </c>
      <c r="G690" s="2"/>
      <c r="I690" t="s">
        <v>522</v>
      </c>
    </row>
    <row r="691" spans="1:9" x14ac:dyDescent="0.3">
      <c r="A691" t="s">
        <v>557</v>
      </c>
      <c r="C691" t="s">
        <v>503</v>
      </c>
      <c r="E691" s="11" t="s">
        <v>654</v>
      </c>
      <c r="G691" s="2" t="s">
        <v>400</v>
      </c>
      <c r="I691" t="s">
        <v>523</v>
      </c>
    </row>
    <row r="692" spans="1:9" x14ac:dyDescent="0.3">
      <c r="A692" t="s">
        <v>558</v>
      </c>
      <c r="C692" t="s">
        <v>504</v>
      </c>
      <c r="E692" s="2" t="s">
        <v>655</v>
      </c>
      <c r="G692" s="2" t="s">
        <v>1467</v>
      </c>
      <c r="I692" t="s">
        <v>524</v>
      </c>
    </row>
    <row r="693" spans="1:9" x14ac:dyDescent="0.3">
      <c r="A693" t="s">
        <v>89</v>
      </c>
      <c r="C693" t="s">
        <v>89</v>
      </c>
      <c r="E693" s="2" t="s">
        <v>656</v>
      </c>
      <c r="G693" s="2"/>
      <c r="I693" t="s">
        <v>525</v>
      </c>
    </row>
    <row r="694" spans="1:9" x14ac:dyDescent="0.3">
      <c r="A694" t="s">
        <v>559</v>
      </c>
      <c r="C694" t="s">
        <v>505</v>
      </c>
      <c r="E694" s="11" t="s">
        <v>2501</v>
      </c>
      <c r="G694" s="2" t="s">
        <v>3154</v>
      </c>
      <c r="I694" t="s">
        <v>1491</v>
      </c>
    </row>
    <row r="695" spans="1:9" x14ac:dyDescent="0.3">
      <c r="A695" t="s">
        <v>560</v>
      </c>
      <c r="C695" t="s">
        <v>506</v>
      </c>
      <c r="E695" s="2"/>
      <c r="G695" s="2"/>
    </row>
    <row r="696" spans="1:9" x14ac:dyDescent="0.3">
      <c r="A696" t="s">
        <v>561</v>
      </c>
      <c r="C696" t="s">
        <v>507</v>
      </c>
      <c r="E696" s="2"/>
      <c r="G696" s="11" t="s">
        <v>559</v>
      </c>
    </row>
    <row r="697" spans="1:9" x14ac:dyDescent="0.3">
      <c r="A697" t="s">
        <v>562</v>
      </c>
      <c r="C697" t="s">
        <v>508</v>
      </c>
      <c r="E697" s="2" t="s">
        <v>646</v>
      </c>
      <c r="G697" s="11" t="s">
        <v>560</v>
      </c>
      <c r="I697" t="s">
        <v>667</v>
      </c>
    </row>
    <row r="698" spans="1:9" x14ac:dyDescent="0.3">
      <c r="A698" t="s">
        <v>565</v>
      </c>
      <c r="C698" t="s">
        <v>509</v>
      </c>
      <c r="E698" s="2" t="s">
        <v>1467</v>
      </c>
      <c r="G698" s="2" t="s">
        <v>561</v>
      </c>
      <c r="I698" t="s">
        <v>1467</v>
      </c>
    </row>
    <row r="699" spans="1:9" x14ac:dyDescent="0.3">
      <c r="A699" t="s">
        <v>566</v>
      </c>
      <c r="C699" t="s">
        <v>510</v>
      </c>
      <c r="E699" s="2"/>
      <c r="G699" s="2" t="s">
        <v>562</v>
      </c>
    </row>
    <row r="700" spans="1:9" x14ac:dyDescent="0.3">
      <c r="A700" t="s">
        <v>567</v>
      </c>
      <c r="C700" t="s">
        <v>511</v>
      </c>
      <c r="E700" s="2" t="s">
        <v>3166</v>
      </c>
      <c r="G700" s="11" t="s">
        <v>565</v>
      </c>
      <c r="I700" t="s">
        <v>3167</v>
      </c>
    </row>
    <row r="701" spans="1:9" x14ac:dyDescent="0.3">
      <c r="A701" t="s">
        <v>568</v>
      </c>
      <c r="C701" t="s">
        <v>512</v>
      </c>
      <c r="E701" s="2"/>
      <c r="G701" s="2" t="s">
        <v>566</v>
      </c>
    </row>
    <row r="702" spans="1:9" x14ac:dyDescent="0.3">
      <c r="A702" t="s">
        <v>569</v>
      </c>
      <c r="C702" t="s">
        <v>513</v>
      </c>
      <c r="E702" s="2" t="s">
        <v>658</v>
      </c>
      <c r="G702" s="11" t="s">
        <v>567</v>
      </c>
      <c r="I702" t="s">
        <v>519</v>
      </c>
    </row>
    <row r="703" spans="1:9" x14ac:dyDescent="0.3">
      <c r="A703" t="s">
        <v>570</v>
      </c>
      <c r="C703" t="s">
        <v>514</v>
      </c>
      <c r="E703" s="2" t="s">
        <v>659</v>
      </c>
      <c r="G703" s="2" t="s">
        <v>568</v>
      </c>
      <c r="I703" t="s">
        <v>522</v>
      </c>
    </row>
    <row r="704" spans="1:9" x14ac:dyDescent="0.3">
      <c r="A704" t="s">
        <v>571</v>
      </c>
      <c r="C704" t="s">
        <v>515</v>
      </c>
      <c r="E704" s="2" t="s">
        <v>3480</v>
      </c>
      <c r="G704" s="2" t="s">
        <v>569</v>
      </c>
      <c r="I704" t="s">
        <v>523</v>
      </c>
    </row>
    <row r="705" spans="1:9" x14ac:dyDescent="0.3">
      <c r="A705" t="s">
        <v>572</v>
      </c>
      <c r="C705" t="s">
        <v>516</v>
      </c>
      <c r="E705" s="2" t="s">
        <v>662</v>
      </c>
      <c r="G705" s="2" t="s">
        <v>570</v>
      </c>
      <c r="I705" t="s">
        <v>524</v>
      </c>
    </row>
    <row r="706" spans="1:9" x14ac:dyDescent="0.3">
      <c r="A706" t="s">
        <v>573</v>
      </c>
      <c r="C706" t="s">
        <v>517</v>
      </c>
      <c r="E706" s="2" t="s">
        <v>663</v>
      </c>
      <c r="G706" s="2" t="s">
        <v>571</v>
      </c>
      <c r="I706" t="s">
        <v>525</v>
      </c>
    </row>
    <row r="707" spans="1:9" x14ac:dyDescent="0.3">
      <c r="A707" t="s">
        <v>1494</v>
      </c>
      <c r="C707" t="s">
        <v>518</v>
      </c>
      <c r="E707" s="2" t="s">
        <v>3040</v>
      </c>
      <c r="G707" s="2" t="s">
        <v>572</v>
      </c>
      <c r="I707" t="s">
        <v>526</v>
      </c>
    </row>
    <row r="708" spans="1:9" x14ac:dyDescent="0.3">
      <c r="C708" t="s">
        <v>519</v>
      </c>
      <c r="E708" s="2" t="s">
        <v>668</v>
      </c>
      <c r="G708" s="2" t="s">
        <v>573</v>
      </c>
      <c r="I708" t="s">
        <v>527</v>
      </c>
    </row>
    <row r="709" spans="1:9" x14ac:dyDescent="0.3">
      <c r="C709" t="s">
        <v>520</v>
      </c>
      <c r="E709" s="2" t="s">
        <v>89</v>
      </c>
      <c r="G709" s="2" t="s">
        <v>574</v>
      </c>
      <c r="I709" t="s">
        <v>528</v>
      </c>
    </row>
    <row r="710" spans="1:9" x14ac:dyDescent="0.3">
      <c r="A710" t="s">
        <v>726</v>
      </c>
      <c r="E710" s="2" t="s">
        <v>3041</v>
      </c>
      <c r="G710" s="2" t="s">
        <v>575</v>
      </c>
      <c r="I710" t="s">
        <v>529</v>
      </c>
    </row>
    <row r="711" spans="1:9" x14ac:dyDescent="0.3">
      <c r="A711" t="s">
        <v>1467</v>
      </c>
      <c r="E711" s="2" t="s">
        <v>671</v>
      </c>
      <c r="G711" s="2" t="s">
        <v>576</v>
      </c>
      <c r="I711" t="s">
        <v>530</v>
      </c>
    </row>
    <row r="712" spans="1:9" x14ac:dyDescent="0.3">
      <c r="C712" t="s">
        <v>521</v>
      </c>
      <c r="E712" s="2" t="s">
        <v>672</v>
      </c>
      <c r="G712" s="2" t="s">
        <v>577</v>
      </c>
      <c r="I712" t="s">
        <v>531</v>
      </c>
    </row>
    <row r="713" spans="1:9" x14ac:dyDescent="0.3">
      <c r="A713" t="s">
        <v>569</v>
      </c>
      <c r="C713" t="s">
        <v>1467</v>
      </c>
      <c r="E713" s="2" t="s">
        <v>3042</v>
      </c>
      <c r="G713" s="2" t="s">
        <v>578</v>
      </c>
      <c r="I713" t="s">
        <v>89</v>
      </c>
    </row>
    <row r="714" spans="1:9" x14ac:dyDescent="0.3">
      <c r="A714" t="s">
        <v>570</v>
      </c>
      <c r="E714" s="11" t="s">
        <v>675</v>
      </c>
      <c r="G714" s="2" t="s">
        <v>579</v>
      </c>
      <c r="I714" t="s">
        <v>532</v>
      </c>
    </row>
    <row r="715" spans="1:9" x14ac:dyDescent="0.3">
      <c r="A715" t="s">
        <v>571</v>
      </c>
      <c r="C715" t="s">
        <v>3160</v>
      </c>
      <c r="E715" s="11" t="s">
        <v>676</v>
      </c>
      <c r="G715" s="2" t="s">
        <v>580</v>
      </c>
      <c r="I715" t="s">
        <v>533</v>
      </c>
    </row>
    <row r="716" spans="1:9" x14ac:dyDescent="0.3">
      <c r="A716" t="s">
        <v>572</v>
      </c>
      <c r="E716" s="2" t="s">
        <v>677</v>
      </c>
      <c r="G716" s="2" t="s">
        <v>581</v>
      </c>
      <c r="I716" t="s">
        <v>534</v>
      </c>
    </row>
    <row r="717" spans="1:9" x14ac:dyDescent="0.3">
      <c r="A717" t="s">
        <v>573</v>
      </c>
      <c r="C717" t="s">
        <v>515</v>
      </c>
      <c r="E717" s="2" t="s">
        <v>678</v>
      </c>
      <c r="G717" s="2" t="s">
        <v>582</v>
      </c>
      <c r="I717" t="s">
        <v>535</v>
      </c>
    </row>
    <row r="718" spans="1:9" x14ac:dyDescent="0.3">
      <c r="A718" t="s">
        <v>574</v>
      </c>
      <c r="C718" t="s">
        <v>516</v>
      </c>
      <c r="E718" s="11" t="s">
        <v>3043</v>
      </c>
      <c r="G718" s="2" t="s">
        <v>585</v>
      </c>
      <c r="I718" t="s">
        <v>536</v>
      </c>
    </row>
    <row r="719" spans="1:9" x14ac:dyDescent="0.3">
      <c r="A719" t="s">
        <v>575</v>
      </c>
      <c r="C719" t="s">
        <v>517</v>
      </c>
      <c r="E719" s="2"/>
      <c r="G719" s="2" t="s">
        <v>586</v>
      </c>
      <c r="I719" t="s">
        <v>537</v>
      </c>
    </row>
    <row r="720" spans="1:9" x14ac:dyDescent="0.3">
      <c r="A720" t="s">
        <v>576</v>
      </c>
      <c r="C720" t="s">
        <v>518</v>
      </c>
      <c r="E720" s="2"/>
      <c r="G720" s="2" t="s">
        <v>587</v>
      </c>
      <c r="I720" t="s">
        <v>538</v>
      </c>
    </row>
    <row r="721" spans="1:9" x14ac:dyDescent="0.3">
      <c r="A721" t="s">
        <v>577</v>
      </c>
      <c r="C721" t="s">
        <v>519</v>
      </c>
      <c r="E721" s="2" t="s">
        <v>667</v>
      </c>
      <c r="G721" s="2" t="s">
        <v>89</v>
      </c>
      <c r="I721" t="s">
        <v>539</v>
      </c>
    </row>
    <row r="722" spans="1:9" x14ac:dyDescent="0.3">
      <c r="A722" t="s">
        <v>578</v>
      </c>
      <c r="C722" t="s">
        <v>522</v>
      </c>
      <c r="E722" s="2" t="s">
        <v>1467</v>
      </c>
      <c r="G722" s="2" t="s">
        <v>588</v>
      </c>
      <c r="I722" t="s">
        <v>540</v>
      </c>
    </row>
    <row r="723" spans="1:9" x14ac:dyDescent="0.3">
      <c r="A723" t="s">
        <v>579</v>
      </c>
      <c r="C723" t="s">
        <v>523</v>
      </c>
      <c r="E723" s="2"/>
      <c r="G723" s="2" t="s">
        <v>589</v>
      </c>
      <c r="I723" t="s">
        <v>1492</v>
      </c>
    </row>
    <row r="724" spans="1:9" x14ac:dyDescent="0.3">
      <c r="A724" t="s">
        <v>580</v>
      </c>
      <c r="C724" t="s">
        <v>524</v>
      </c>
      <c r="E724" s="2" t="s">
        <v>3167</v>
      </c>
      <c r="G724" s="2" t="s">
        <v>590</v>
      </c>
    </row>
    <row r="725" spans="1:9" x14ac:dyDescent="0.3">
      <c r="A725" t="s">
        <v>581</v>
      </c>
      <c r="C725" t="s">
        <v>525</v>
      </c>
      <c r="E725" s="2"/>
      <c r="G725" s="2" t="s">
        <v>591</v>
      </c>
    </row>
    <row r="726" spans="1:9" x14ac:dyDescent="0.3">
      <c r="A726" t="s">
        <v>582</v>
      </c>
      <c r="C726" t="s">
        <v>526</v>
      </c>
      <c r="E726" s="11" t="s">
        <v>680</v>
      </c>
      <c r="G726" s="2" t="s">
        <v>592</v>
      </c>
      <c r="I726" t="s">
        <v>686</v>
      </c>
    </row>
    <row r="727" spans="1:9" x14ac:dyDescent="0.3">
      <c r="A727" t="s">
        <v>585</v>
      </c>
      <c r="C727" t="s">
        <v>527</v>
      </c>
      <c r="E727" s="11" t="s">
        <v>3481</v>
      </c>
      <c r="G727" s="2" t="s">
        <v>593</v>
      </c>
      <c r="I727" t="s">
        <v>1467</v>
      </c>
    </row>
    <row r="728" spans="1:9" x14ac:dyDescent="0.3">
      <c r="A728" t="s">
        <v>586</v>
      </c>
      <c r="C728" t="s">
        <v>528</v>
      </c>
      <c r="E728" s="2" t="s">
        <v>3044</v>
      </c>
      <c r="G728" s="2" t="s">
        <v>594</v>
      </c>
    </row>
    <row r="729" spans="1:9" x14ac:dyDescent="0.3">
      <c r="A729" t="s">
        <v>587</v>
      </c>
      <c r="C729" t="s">
        <v>529</v>
      </c>
      <c r="E729" s="2" t="s">
        <v>687</v>
      </c>
      <c r="G729" s="2" t="s">
        <v>595</v>
      </c>
      <c r="I729" t="s">
        <v>3168</v>
      </c>
    </row>
    <row r="730" spans="1:9" x14ac:dyDescent="0.3">
      <c r="A730" t="s">
        <v>89</v>
      </c>
      <c r="C730" t="s">
        <v>530</v>
      </c>
      <c r="E730" s="11" t="s">
        <v>688</v>
      </c>
      <c r="G730" s="2" t="s">
        <v>3073</v>
      </c>
    </row>
    <row r="731" spans="1:9" x14ac:dyDescent="0.3">
      <c r="A731" t="s">
        <v>588</v>
      </c>
      <c r="C731" t="s">
        <v>531</v>
      </c>
      <c r="E731" s="2" t="s">
        <v>689</v>
      </c>
      <c r="G731" s="2"/>
      <c r="I731" t="s">
        <v>544</v>
      </c>
    </row>
    <row r="732" spans="1:9" x14ac:dyDescent="0.3">
      <c r="A732" t="s">
        <v>589</v>
      </c>
      <c r="C732" t="s">
        <v>89</v>
      </c>
      <c r="E732" s="2" t="s">
        <v>3482</v>
      </c>
      <c r="G732" s="2"/>
      <c r="I732" t="s">
        <v>545</v>
      </c>
    </row>
    <row r="733" spans="1:9" x14ac:dyDescent="0.3">
      <c r="A733" t="s">
        <v>1495</v>
      </c>
      <c r="C733" t="s">
        <v>532</v>
      </c>
      <c r="E733" s="2" t="s">
        <v>692</v>
      </c>
      <c r="G733" s="2" t="s">
        <v>421</v>
      </c>
      <c r="I733" t="s">
        <v>546</v>
      </c>
    </row>
    <row r="734" spans="1:9" x14ac:dyDescent="0.3">
      <c r="C734" t="s">
        <v>533</v>
      </c>
      <c r="E734" s="2" t="s">
        <v>3045</v>
      </c>
      <c r="G734" s="2" t="s">
        <v>1467</v>
      </c>
      <c r="I734" t="s">
        <v>547</v>
      </c>
    </row>
    <row r="735" spans="1:9" x14ac:dyDescent="0.3">
      <c r="C735" t="s">
        <v>534</v>
      </c>
      <c r="E735" s="2" t="s">
        <v>695</v>
      </c>
      <c r="G735" s="2"/>
      <c r="I735" t="s">
        <v>1493</v>
      </c>
    </row>
    <row r="736" spans="1:9" x14ac:dyDescent="0.3">
      <c r="A736" t="s">
        <v>733</v>
      </c>
      <c r="C736" t="s">
        <v>535</v>
      </c>
      <c r="E736" t="s">
        <v>89</v>
      </c>
      <c r="G736" s="2" t="s">
        <v>3155</v>
      </c>
    </row>
    <row r="737" spans="1:9" x14ac:dyDescent="0.3">
      <c r="A737" t="s">
        <v>1467</v>
      </c>
      <c r="C737" t="s">
        <v>536</v>
      </c>
      <c r="E737" t="s">
        <v>3483</v>
      </c>
      <c r="G737" s="2"/>
    </row>
    <row r="738" spans="1:9" x14ac:dyDescent="0.3">
      <c r="C738" t="s">
        <v>537</v>
      </c>
      <c r="E738" t="s">
        <v>698</v>
      </c>
      <c r="G738" s="11" t="s">
        <v>590</v>
      </c>
      <c r="I738" t="s">
        <v>707</v>
      </c>
    </row>
    <row r="739" spans="1:9" x14ac:dyDescent="0.3">
      <c r="A739" t="s">
        <v>591</v>
      </c>
      <c r="C739" t="s">
        <v>538</v>
      </c>
      <c r="E739" t="s">
        <v>699</v>
      </c>
      <c r="G739" s="11" t="s">
        <v>591</v>
      </c>
      <c r="I739" t="s">
        <v>1467</v>
      </c>
    </row>
    <row r="740" spans="1:9" x14ac:dyDescent="0.3">
      <c r="A740" t="s">
        <v>592</v>
      </c>
      <c r="C740" t="s">
        <v>539</v>
      </c>
      <c r="E740" t="s">
        <v>700</v>
      </c>
      <c r="G740" s="2" t="s">
        <v>592</v>
      </c>
    </row>
    <row r="741" spans="1:9" x14ac:dyDescent="0.3">
      <c r="A741" t="s">
        <v>593</v>
      </c>
      <c r="C741" t="s">
        <v>540</v>
      </c>
      <c r="E741" t="s">
        <v>701</v>
      </c>
      <c r="G741" s="2" t="s">
        <v>593</v>
      </c>
      <c r="I741" t="s">
        <v>3169</v>
      </c>
    </row>
    <row r="742" spans="1:9" x14ac:dyDescent="0.3">
      <c r="A742" t="s">
        <v>594</v>
      </c>
      <c r="C742" t="s">
        <v>541</v>
      </c>
      <c r="E742" t="s">
        <v>1501</v>
      </c>
      <c r="G742" s="11" t="s">
        <v>594</v>
      </c>
    </row>
    <row r="743" spans="1:9" x14ac:dyDescent="0.3">
      <c r="A743" t="s">
        <v>595</v>
      </c>
      <c r="C743" t="s">
        <v>542</v>
      </c>
      <c r="G743" s="2" t="s">
        <v>595</v>
      </c>
      <c r="I743" t="s">
        <v>549</v>
      </c>
    </row>
    <row r="744" spans="1:9" x14ac:dyDescent="0.3">
      <c r="A744" t="s">
        <v>596</v>
      </c>
      <c r="G744" s="11" t="s">
        <v>596</v>
      </c>
      <c r="I744" t="s">
        <v>550</v>
      </c>
    </row>
    <row r="745" spans="1:9" x14ac:dyDescent="0.3">
      <c r="A745" t="s">
        <v>597</v>
      </c>
      <c r="E745" t="s">
        <v>686</v>
      </c>
      <c r="G745" s="2" t="s">
        <v>597</v>
      </c>
      <c r="I745" t="s">
        <v>551</v>
      </c>
    </row>
    <row r="746" spans="1:9" x14ac:dyDescent="0.3">
      <c r="A746" t="s">
        <v>598</v>
      </c>
      <c r="C746" t="s">
        <v>543</v>
      </c>
      <c r="E746" t="s">
        <v>1467</v>
      </c>
      <c r="G746" s="2" t="s">
        <v>598</v>
      </c>
      <c r="I746" t="s">
        <v>552</v>
      </c>
    </row>
    <row r="747" spans="1:9" x14ac:dyDescent="0.3">
      <c r="A747" t="s">
        <v>599</v>
      </c>
      <c r="C747" t="s">
        <v>1467</v>
      </c>
      <c r="G747" s="2" t="s">
        <v>599</v>
      </c>
      <c r="I747" t="s">
        <v>553</v>
      </c>
    </row>
    <row r="748" spans="1:9" x14ac:dyDescent="0.3">
      <c r="A748" t="s">
        <v>600</v>
      </c>
      <c r="E748" t="s">
        <v>3168</v>
      </c>
      <c r="G748" s="2" t="s">
        <v>600</v>
      </c>
      <c r="I748" t="s">
        <v>554</v>
      </c>
    </row>
    <row r="749" spans="1:9" x14ac:dyDescent="0.3">
      <c r="A749" t="s">
        <v>601</v>
      </c>
      <c r="C749" t="s">
        <v>3161</v>
      </c>
      <c r="G749" s="2" t="s">
        <v>601</v>
      </c>
      <c r="I749" t="s">
        <v>555</v>
      </c>
    </row>
    <row r="750" spans="1:9" x14ac:dyDescent="0.3">
      <c r="A750" t="s">
        <v>604</v>
      </c>
      <c r="E750" t="s">
        <v>703</v>
      </c>
      <c r="G750" s="2" t="s">
        <v>604</v>
      </c>
      <c r="I750" t="s">
        <v>556</v>
      </c>
    </row>
    <row r="751" spans="1:9" x14ac:dyDescent="0.3">
      <c r="A751" t="s">
        <v>605</v>
      </c>
      <c r="C751" t="s">
        <v>536</v>
      </c>
      <c r="E751" t="s">
        <v>704</v>
      </c>
      <c r="G751" s="2" t="s">
        <v>605</v>
      </c>
      <c r="I751" t="s">
        <v>557</v>
      </c>
    </row>
    <row r="752" spans="1:9" x14ac:dyDescent="0.3">
      <c r="A752" t="s">
        <v>606</v>
      </c>
      <c r="C752" t="s">
        <v>537</v>
      </c>
      <c r="E752" t="s">
        <v>705</v>
      </c>
      <c r="G752" s="2" t="s">
        <v>606</v>
      </c>
      <c r="I752" t="s">
        <v>558</v>
      </c>
    </row>
    <row r="753" spans="1:9" x14ac:dyDescent="0.3">
      <c r="A753" t="e">
        <f>- che siano presenti nello stesso luogo il presidente ed il</f>
        <v>#NAME?</v>
      </c>
      <c r="C753" t="s">
        <v>538</v>
      </c>
      <c r="E753" t="s">
        <v>708</v>
      </c>
      <c r="G753" s="2" t="e">
        <f>- che siano presenti nello stesso luogo il presidente ed il</f>
        <v>#NAME?</v>
      </c>
      <c r="I753" t="s">
        <v>89</v>
      </c>
    </row>
    <row r="754" spans="1:9" x14ac:dyDescent="0.3">
      <c r="A754" t="s">
        <v>607</v>
      </c>
      <c r="C754" t="s">
        <v>539</v>
      </c>
      <c r="E754" t="s">
        <v>709</v>
      </c>
      <c r="G754" s="2" t="s">
        <v>607</v>
      </c>
      <c r="I754" t="s">
        <v>559</v>
      </c>
    </row>
    <row r="755" spans="1:9" x14ac:dyDescent="0.3">
      <c r="A755" t="s">
        <v>608</v>
      </c>
      <c r="C755" t="s">
        <v>540</v>
      </c>
      <c r="E755" t="s">
        <v>710</v>
      </c>
      <c r="G755" s="2" t="s">
        <v>608</v>
      </c>
      <c r="I755" t="s">
        <v>560</v>
      </c>
    </row>
    <row r="756" spans="1:9" x14ac:dyDescent="0.3">
      <c r="A756" t="s">
        <v>609</v>
      </c>
      <c r="C756" t="s">
        <v>541</v>
      </c>
      <c r="E756" t="s">
        <v>711</v>
      </c>
      <c r="G756" s="2" t="s">
        <v>609</v>
      </c>
      <c r="I756" t="s">
        <v>561</v>
      </c>
    </row>
    <row r="757" spans="1:9" x14ac:dyDescent="0.3">
      <c r="A757" t="s">
        <v>610</v>
      </c>
      <c r="C757" t="s">
        <v>544</v>
      </c>
      <c r="E757" t="s">
        <v>712</v>
      </c>
      <c r="G757" s="2" t="s">
        <v>610</v>
      </c>
      <c r="I757" t="s">
        <v>562</v>
      </c>
    </row>
    <row r="758" spans="1:9" x14ac:dyDescent="0.3">
      <c r="A758" t="s">
        <v>611</v>
      </c>
      <c r="C758" t="s">
        <v>545</v>
      </c>
      <c r="E758" t="s">
        <v>713</v>
      </c>
      <c r="G758" s="2" t="s">
        <v>611</v>
      </c>
      <c r="I758" t="s">
        <v>565</v>
      </c>
    </row>
    <row r="759" spans="1:9" x14ac:dyDescent="0.3">
      <c r="A759" t="s">
        <v>612</v>
      </c>
      <c r="C759" t="s">
        <v>546</v>
      </c>
      <c r="E759" t="s">
        <v>714</v>
      </c>
      <c r="G759" s="2" t="s">
        <v>612</v>
      </c>
      <c r="I759" t="s">
        <v>566</v>
      </c>
    </row>
    <row r="760" spans="1:9" x14ac:dyDescent="0.3">
      <c r="A760" t="s">
        <v>613</v>
      </c>
      <c r="C760" t="s">
        <v>547</v>
      </c>
      <c r="E760" t="s">
        <v>715</v>
      </c>
      <c r="G760" s="2" t="s">
        <v>613</v>
      </c>
      <c r="I760" t="s">
        <v>567</v>
      </c>
    </row>
    <row r="761" spans="1:9" x14ac:dyDescent="0.3">
      <c r="A761" t="s">
        <v>89</v>
      </c>
      <c r="C761" t="s">
        <v>548</v>
      </c>
      <c r="E761" t="s">
        <v>716</v>
      </c>
      <c r="G761" s="2" t="s">
        <v>89</v>
      </c>
      <c r="I761" t="s">
        <v>568</v>
      </c>
    </row>
    <row r="762" spans="1:9" x14ac:dyDescent="0.3">
      <c r="A762" t="s">
        <v>614</v>
      </c>
      <c r="C762" t="s">
        <v>549</v>
      </c>
      <c r="E762" t="s">
        <v>3046</v>
      </c>
      <c r="G762" s="2" t="s">
        <v>614</v>
      </c>
      <c r="I762" t="s">
        <v>569</v>
      </c>
    </row>
    <row r="763" spans="1:9" x14ac:dyDescent="0.3">
      <c r="A763" t="e">
        <f>- che sia consentito al soggetto verbalizzante di percepire</f>
        <v>#NAME?</v>
      </c>
      <c r="C763" t="s">
        <v>550</v>
      </c>
      <c r="E763" t="s">
        <v>719</v>
      </c>
      <c r="G763" s="2" t="e">
        <f>- che sia consentito al soggetto verbalizzante di percepire</f>
        <v>#NAME?</v>
      </c>
      <c r="I763" t="s">
        <v>570</v>
      </c>
    </row>
    <row r="764" spans="1:9" x14ac:dyDescent="0.3">
      <c r="A764" t="s">
        <v>615</v>
      </c>
      <c r="C764" t="s">
        <v>551</v>
      </c>
      <c r="E764" t="s">
        <v>720</v>
      </c>
      <c r="G764" s="2" t="s">
        <v>615</v>
      </c>
      <c r="I764" t="s">
        <v>571</v>
      </c>
    </row>
    <row r="765" spans="1:9" x14ac:dyDescent="0.3">
      <c r="A765" t="s">
        <v>1496</v>
      </c>
      <c r="C765" t="s">
        <v>552</v>
      </c>
      <c r="E765" t="s">
        <v>721</v>
      </c>
      <c r="G765" s="2" t="s">
        <v>616</v>
      </c>
      <c r="I765" t="s">
        <v>572</v>
      </c>
    </row>
    <row r="766" spans="1:9" x14ac:dyDescent="0.3">
      <c r="C766" t="s">
        <v>553</v>
      </c>
      <c r="E766" t="s">
        <v>722</v>
      </c>
      <c r="G766" s="2" t="s">
        <v>617</v>
      </c>
      <c r="I766" t="s">
        <v>573</v>
      </c>
    </row>
    <row r="767" spans="1:9" x14ac:dyDescent="0.3">
      <c r="C767" t="s">
        <v>554</v>
      </c>
      <c r="E767" t="s">
        <v>89</v>
      </c>
      <c r="G767" s="2" t="s">
        <v>618</v>
      </c>
      <c r="I767" t="s">
        <v>1494</v>
      </c>
    </row>
    <row r="768" spans="1:9" x14ac:dyDescent="0.3">
      <c r="A768" t="s">
        <v>761</v>
      </c>
      <c r="C768" t="s">
        <v>555</v>
      </c>
      <c r="E768" t="s">
        <v>3047</v>
      </c>
      <c r="G768" s="2" t="s">
        <v>619</v>
      </c>
    </row>
    <row r="769" spans="1:9" x14ac:dyDescent="0.3">
      <c r="A769" t="s">
        <v>1467</v>
      </c>
      <c r="C769" t="s">
        <v>556</v>
      </c>
      <c r="G769" s="2" t="s">
        <v>620</v>
      </c>
    </row>
    <row r="770" spans="1:9" x14ac:dyDescent="0.3">
      <c r="C770" t="s">
        <v>557</v>
      </c>
      <c r="G770" s="2" t="s">
        <v>621</v>
      </c>
      <c r="I770" t="s">
        <v>726</v>
      </c>
    </row>
    <row r="771" spans="1:9" x14ac:dyDescent="0.3">
      <c r="A771" t="s">
        <v>612</v>
      </c>
      <c r="C771" t="s">
        <v>558</v>
      </c>
      <c r="E771" t="s">
        <v>707</v>
      </c>
      <c r="G771" s="2" t="s">
        <v>622</v>
      </c>
      <c r="I771" t="s">
        <v>1467</v>
      </c>
    </row>
    <row r="772" spans="1:9" x14ac:dyDescent="0.3">
      <c r="A772" t="s">
        <v>613</v>
      </c>
      <c r="C772" t="s">
        <v>89</v>
      </c>
      <c r="E772" t="s">
        <v>1467</v>
      </c>
      <c r="G772" s="2" t="s">
        <v>625</v>
      </c>
    </row>
    <row r="773" spans="1:9" x14ac:dyDescent="0.3">
      <c r="A773" t="s">
        <v>89</v>
      </c>
      <c r="C773" t="s">
        <v>559</v>
      </c>
      <c r="G773" s="2" t="s">
        <v>3074</v>
      </c>
      <c r="I773" t="s">
        <v>3170</v>
      </c>
    </row>
    <row r="774" spans="1:9" x14ac:dyDescent="0.3">
      <c r="A774" t="s">
        <v>614</v>
      </c>
      <c r="C774" t="s">
        <v>560</v>
      </c>
      <c r="E774" t="s">
        <v>3169</v>
      </c>
      <c r="G774" s="2"/>
    </row>
    <row r="775" spans="1:9" x14ac:dyDescent="0.3">
      <c r="A775" t="e">
        <f>- che sia consentito al soggetto verbalizzante di percepire</f>
        <v>#NAME?</v>
      </c>
      <c r="C775" t="s">
        <v>561</v>
      </c>
      <c r="G775" s="2"/>
      <c r="I775" t="s">
        <v>569</v>
      </c>
    </row>
    <row r="776" spans="1:9" x14ac:dyDescent="0.3">
      <c r="A776" t="s">
        <v>615</v>
      </c>
      <c r="C776" t="s">
        <v>562</v>
      </c>
      <c r="E776" t="s">
        <v>724</v>
      </c>
      <c r="G776" s="2" t="s">
        <v>441</v>
      </c>
      <c r="I776" t="s">
        <v>570</v>
      </c>
    </row>
    <row r="777" spans="1:9" x14ac:dyDescent="0.3">
      <c r="A777" t="s">
        <v>616</v>
      </c>
      <c r="C777" t="s">
        <v>563</v>
      </c>
      <c r="E777" t="s">
        <v>89</v>
      </c>
      <c r="G777" s="2" t="s">
        <v>1467</v>
      </c>
      <c r="I777" t="s">
        <v>571</v>
      </c>
    </row>
    <row r="778" spans="1:9" x14ac:dyDescent="0.3">
      <c r="A778" t="s">
        <v>617</v>
      </c>
      <c r="E778" t="s">
        <v>727</v>
      </c>
      <c r="G778" s="2"/>
      <c r="I778" t="s">
        <v>572</v>
      </c>
    </row>
    <row r="779" spans="1:9" x14ac:dyDescent="0.3">
      <c r="A779" t="s">
        <v>618</v>
      </c>
      <c r="E779" t="s">
        <v>3048</v>
      </c>
      <c r="G779" s="2" t="s">
        <v>3156</v>
      </c>
      <c r="I779" t="s">
        <v>573</v>
      </c>
    </row>
    <row r="780" spans="1:9" x14ac:dyDescent="0.3">
      <c r="A780" t="s">
        <v>619</v>
      </c>
      <c r="C780" t="s">
        <v>564</v>
      </c>
      <c r="E780" t="s">
        <v>730</v>
      </c>
      <c r="G780" s="2"/>
      <c r="I780" t="s">
        <v>574</v>
      </c>
    </row>
    <row r="781" spans="1:9" x14ac:dyDescent="0.3">
      <c r="A781" t="s">
        <v>620</v>
      </c>
      <c r="C781" t="s">
        <v>1467</v>
      </c>
      <c r="E781" t="s">
        <v>731</v>
      </c>
      <c r="G781" s="11" t="s">
        <v>618</v>
      </c>
      <c r="I781" t="s">
        <v>575</v>
      </c>
    </row>
    <row r="782" spans="1:9" x14ac:dyDescent="0.3">
      <c r="A782" t="s">
        <v>621</v>
      </c>
      <c r="E782" t="s">
        <v>732</v>
      </c>
      <c r="G782" s="11" t="s">
        <v>619</v>
      </c>
      <c r="I782" t="s">
        <v>576</v>
      </c>
    </row>
    <row r="783" spans="1:9" x14ac:dyDescent="0.3">
      <c r="A783" t="s">
        <v>622</v>
      </c>
      <c r="C783" t="s">
        <v>3162</v>
      </c>
      <c r="G783" s="2" t="s">
        <v>620</v>
      </c>
      <c r="I783" t="s">
        <v>577</v>
      </c>
    </row>
    <row r="784" spans="1:9" x14ac:dyDescent="0.3">
      <c r="A784" t="s">
        <v>625</v>
      </c>
      <c r="G784" s="2" t="s">
        <v>621</v>
      </c>
      <c r="I784" t="s">
        <v>578</v>
      </c>
    </row>
    <row r="785" spans="1:9" x14ac:dyDescent="0.3">
      <c r="A785" t="s">
        <v>626</v>
      </c>
      <c r="C785" t="s">
        <v>559</v>
      </c>
      <c r="E785" t="s">
        <v>726</v>
      </c>
      <c r="G785" s="11" t="s">
        <v>622</v>
      </c>
      <c r="I785" t="s">
        <v>579</v>
      </c>
    </row>
    <row r="786" spans="1:9" x14ac:dyDescent="0.3">
      <c r="A786" t="s">
        <v>627</v>
      </c>
      <c r="C786" t="s">
        <v>560</v>
      </c>
      <c r="E786" t="s">
        <v>1554</v>
      </c>
      <c r="G786" s="2" t="s">
        <v>625</v>
      </c>
      <c r="I786" t="s">
        <v>580</v>
      </c>
    </row>
    <row r="787" spans="1:9" x14ac:dyDescent="0.3">
      <c r="A787" t="s">
        <v>628</v>
      </c>
      <c r="C787" t="s">
        <v>561</v>
      </c>
      <c r="G787" s="11" t="s">
        <v>626</v>
      </c>
      <c r="I787" t="s">
        <v>581</v>
      </c>
    </row>
    <row r="788" spans="1:9" x14ac:dyDescent="0.3">
      <c r="A788" t="s">
        <v>629</v>
      </c>
      <c r="C788" t="s">
        <v>562</v>
      </c>
      <c r="E788" t="s">
        <v>3170</v>
      </c>
      <c r="G788" s="2" t="s">
        <v>627</v>
      </c>
      <c r="I788" t="s">
        <v>582</v>
      </c>
    </row>
    <row r="789" spans="1:9" x14ac:dyDescent="0.3">
      <c r="A789" t="s">
        <v>630</v>
      </c>
      <c r="C789" t="s">
        <v>565</v>
      </c>
      <c r="G789" s="2" t="s">
        <v>628</v>
      </c>
      <c r="I789" t="s">
        <v>585</v>
      </c>
    </row>
    <row r="790" spans="1:9" x14ac:dyDescent="0.3">
      <c r="A790" t="s">
        <v>631</v>
      </c>
      <c r="C790" t="s">
        <v>566</v>
      </c>
      <c r="E790" t="s">
        <v>3484</v>
      </c>
      <c r="G790" s="2" t="s">
        <v>629</v>
      </c>
      <c r="I790" t="s">
        <v>586</v>
      </c>
    </row>
    <row r="791" spans="1:9" x14ac:dyDescent="0.3">
      <c r="A791" t="s">
        <v>632</v>
      </c>
      <c r="C791" t="s">
        <v>567</v>
      </c>
      <c r="E791" t="s">
        <v>1334</v>
      </c>
      <c r="G791" s="2" t="s">
        <v>630</v>
      </c>
      <c r="I791" t="s">
        <v>587</v>
      </c>
    </row>
    <row r="792" spans="1:9" x14ac:dyDescent="0.3">
      <c r="A792" t="s">
        <v>633</v>
      </c>
      <c r="C792" t="s">
        <v>568</v>
      </c>
      <c r="E792" t="s">
        <v>1335</v>
      </c>
      <c r="G792" s="2" t="s">
        <v>631</v>
      </c>
      <c r="I792" t="s">
        <v>89</v>
      </c>
    </row>
    <row r="793" spans="1:9" x14ac:dyDescent="0.3">
      <c r="A793" t="s">
        <v>634</v>
      </c>
      <c r="C793" t="s">
        <v>569</v>
      </c>
      <c r="E793" t="s">
        <v>1555</v>
      </c>
      <c r="G793" s="2" t="s">
        <v>632</v>
      </c>
      <c r="I793" t="s">
        <v>588</v>
      </c>
    </row>
    <row r="794" spans="1:9" x14ac:dyDescent="0.3">
      <c r="A794" t="s">
        <v>635</v>
      </c>
      <c r="C794" t="s">
        <v>570</v>
      </c>
      <c r="E794" t="s">
        <v>3485</v>
      </c>
      <c r="G794" s="2" t="s">
        <v>633</v>
      </c>
      <c r="I794" t="s">
        <v>589</v>
      </c>
    </row>
    <row r="795" spans="1:9" x14ac:dyDescent="0.3">
      <c r="A795" t="s">
        <v>1497</v>
      </c>
      <c r="C795" t="s">
        <v>571</v>
      </c>
      <c r="E795" t="s">
        <v>3486</v>
      </c>
      <c r="G795" s="2" t="s">
        <v>634</v>
      </c>
      <c r="I795" t="s">
        <v>1495</v>
      </c>
    </row>
    <row r="796" spans="1:9" x14ac:dyDescent="0.3">
      <c r="C796" t="s">
        <v>572</v>
      </c>
      <c r="E796" t="s">
        <v>1559</v>
      </c>
      <c r="G796" s="2" t="s">
        <v>635</v>
      </c>
    </row>
    <row r="797" spans="1:9" x14ac:dyDescent="0.3">
      <c r="C797" t="s">
        <v>573</v>
      </c>
      <c r="E797" t="s">
        <v>1560</v>
      </c>
      <c r="G797" s="2" t="s">
        <v>636</v>
      </c>
    </row>
    <row r="798" spans="1:9" x14ac:dyDescent="0.3">
      <c r="A798" t="s">
        <v>780</v>
      </c>
      <c r="C798" t="s">
        <v>574</v>
      </c>
      <c r="E798" t="s">
        <v>1561</v>
      </c>
      <c r="G798" s="2" t="s">
        <v>637</v>
      </c>
      <c r="I798" t="s">
        <v>733</v>
      </c>
    </row>
    <row r="799" spans="1:9" x14ac:dyDescent="0.3">
      <c r="A799" t="s">
        <v>1467</v>
      </c>
      <c r="C799" t="s">
        <v>575</v>
      </c>
      <c r="E799" t="s">
        <v>1562</v>
      </c>
      <c r="G799" s="2" t="s">
        <v>638</v>
      </c>
      <c r="I799" t="s">
        <v>1467</v>
      </c>
    </row>
    <row r="800" spans="1:9" x14ac:dyDescent="0.3">
      <c r="C800" t="s">
        <v>576</v>
      </c>
      <c r="E800" t="s">
        <v>1563</v>
      </c>
      <c r="G800" s="2" t="s">
        <v>639</v>
      </c>
    </row>
    <row r="801" spans="1:9" x14ac:dyDescent="0.3">
      <c r="A801" t="s">
        <v>637</v>
      </c>
      <c r="C801" t="s">
        <v>577</v>
      </c>
      <c r="E801" t="s">
        <v>3487</v>
      </c>
      <c r="G801" s="2" t="s">
        <v>89</v>
      </c>
      <c r="I801" t="s">
        <v>3171</v>
      </c>
    </row>
    <row r="802" spans="1:9" x14ac:dyDescent="0.3">
      <c r="A802" t="s">
        <v>638</v>
      </c>
      <c r="C802" t="s">
        <v>578</v>
      </c>
      <c r="E802" t="s">
        <v>1566</v>
      </c>
      <c r="G802" s="2" t="s">
        <v>640</v>
      </c>
    </row>
    <row r="803" spans="1:9" x14ac:dyDescent="0.3">
      <c r="A803" t="s">
        <v>639</v>
      </c>
      <c r="C803" t="s">
        <v>579</v>
      </c>
      <c r="E803" t="s">
        <v>3488</v>
      </c>
      <c r="G803" s="2" t="s">
        <v>641</v>
      </c>
      <c r="I803" t="s">
        <v>591</v>
      </c>
    </row>
    <row r="804" spans="1:9" x14ac:dyDescent="0.3">
      <c r="A804" t="s">
        <v>89</v>
      </c>
      <c r="C804" t="s">
        <v>580</v>
      </c>
      <c r="E804" t="s">
        <v>1569</v>
      </c>
      <c r="G804" s="2" t="s">
        <v>642</v>
      </c>
      <c r="I804" t="s">
        <v>592</v>
      </c>
    </row>
    <row r="805" spans="1:9" x14ac:dyDescent="0.3">
      <c r="A805" t="s">
        <v>640</v>
      </c>
      <c r="C805" t="s">
        <v>581</v>
      </c>
      <c r="E805" t="s">
        <v>3489</v>
      </c>
      <c r="G805" s="2" t="s">
        <v>643</v>
      </c>
      <c r="I805" t="s">
        <v>593</v>
      </c>
    </row>
    <row r="806" spans="1:9" x14ac:dyDescent="0.3">
      <c r="A806" t="s">
        <v>641</v>
      </c>
      <c r="C806" t="s">
        <v>582</v>
      </c>
      <c r="G806" s="2" t="s">
        <v>644</v>
      </c>
      <c r="I806" t="s">
        <v>594</v>
      </c>
    </row>
    <row r="807" spans="1:9" x14ac:dyDescent="0.3">
      <c r="A807" t="s">
        <v>642</v>
      </c>
      <c r="C807" t="s">
        <v>583</v>
      </c>
      <c r="G807" s="2" t="s">
        <v>647</v>
      </c>
      <c r="I807" t="s">
        <v>595</v>
      </c>
    </row>
    <row r="808" spans="1:9" x14ac:dyDescent="0.3">
      <c r="A808" t="s">
        <v>643</v>
      </c>
      <c r="E808" t="s">
        <v>733</v>
      </c>
      <c r="G808" s="2" t="s">
        <v>648</v>
      </c>
      <c r="I808" t="s">
        <v>596</v>
      </c>
    </row>
    <row r="809" spans="1:9" x14ac:dyDescent="0.3">
      <c r="A809" t="s">
        <v>644</v>
      </c>
      <c r="E809" t="s">
        <v>1554</v>
      </c>
      <c r="G809" s="2" t="s">
        <v>649</v>
      </c>
      <c r="I809" t="s">
        <v>597</v>
      </c>
    </row>
    <row r="810" spans="1:9" x14ac:dyDescent="0.3">
      <c r="A810" t="s">
        <v>647</v>
      </c>
      <c r="C810" t="s">
        <v>584</v>
      </c>
      <c r="G810" s="2" t="s">
        <v>650</v>
      </c>
      <c r="I810" t="s">
        <v>598</v>
      </c>
    </row>
    <row r="811" spans="1:9" x14ac:dyDescent="0.3">
      <c r="A811" t="s">
        <v>648</v>
      </c>
      <c r="C811" t="s">
        <v>1467</v>
      </c>
      <c r="E811" t="s">
        <v>3171</v>
      </c>
      <c r="G811" s="2" t="s">
        <v>651</v>
      </c>
      <c r="I811" t="s">
        <v>599</v>
      </c>
    </row>
    <row r="812" spans="1:9" x14ac:dyDescent="0.3">
      <c r="A812" t="s">
        <v>1498</v>
      </c>
      <c r="G812" s="2" t="s">
        <v>652</v>
      </c>
      <c r="I812" t="s">
        <v>600</v>
      </c>
    </row>
    <row r="813" spans="1:9" x14ac:dyDescent="0.3">
      <c r="C813" t="s">
        <v>3163</v>
      </c>
      <c r="E813" t="s">
        <v>3490</v>
      </c>
      <c r="G813" s="2" t="s">
        <v>653</v>
      </c>
      <c r="I813" t="s">
        <v>601</v>
      </c>
    </row>
    <row r="814" spans="1:9" x14ac:dyDescent="0.3">
      <c r="E814" t="s">
        <v>1572</v>
      </c>
      <c r="G814" s="2" t="s">
        <v>654</v>
      </c>
      <c r="I814" t="s">
        <v>604</v>
      </c>
    </row>
    <row r="815" spans="1:9" x14ac:dyDescent="0.3">
      <c r="A815" t="s">
        <v>803</v>
      </c>
      <c r="C815" t="s">
        <v>579</v>
      </c>
      <c r="E815" t="s">
        <v>1573</v>
      </c>
      <c r="G815" s="2" t="s">
        <v>655</v>
      </c>
      <c r="I815" t="s">
        <v>605</v>
      </c>
    </row>
    <row r="816" spans="1:9" x14ac:dyDescent="0.3">
      <c r="A816" t="s">
        <v>1467</v>
      </c>
      <c r="C816" t="s">
        <v>580</v>
      </c>
      <c r="E816" t="s">
        <v>3491</v>
      </c>
      <c r="G816" s="2" t="s">
        <v>656</v>
      </c>
      <c r="I816" t="s">
        <v>606</v>
      </c>
    </row>
    <row r="817" spans="1:9" x14ac:dyDescent="0.3">
      <c r="C817" t="s">
        <v>581</v>
      </c>
      <c r="E817" t="s">
        <v>1576</v>
      </c>
      <c r="G817" s="2" t="s">
        <v>2501</v>
      </c>
      <c r="I817" t="e">
        <f>- che siano presenti nello stesso luogo il presidente ed il</f>
        <v>#NAME?</v>
      </c>
    </row>
    <row r="818" spans="1:9" x14ac:dyDescent="0.3">
      <c r="A818" t="s">
        <v>650</v>
      </c>
      <c r="C818" t="s">
        <v>582</v>
      </c>
      <c r="E818" t="s">
        <v>1578</v>
      </c>
      <c r="G818" s="2"/>
      <c r="I818" t="s">
        <v>607</v>
      </c>
    </row>
    <row r="819" spans="1:9" x14ac:dyDescent="0.3">
      <c r="A819" t="s">
        <v>651</v>
      </c>
      <c r="C819" t="s">
        <v>585</v>
      </c>
      <c r="E819" t="s">
        <v>3492</v>
      </c>
      <c r="G819" s="2"/>
      <c r="I819" t="s">
        <v>608</v>
      </c>
    </row>
    <row r="820" spans="1:9" x14ac:dyDescent="0.3">
      <c r="A820" t="s">
        <v>652</v>
      </c>
      <c r="C820" t="s">
        <v>586</v>
      </c>
      <c r="E820" t="s">
        <v>3493</v>
      </c>
      <c r="G820" s="2" t="s">
        <v>460</v>
      </c>
      <c r="I820" t="s">
        <v>609</v>
      </c>
    </row>
    <row r="821" spans="1:9" x14ac:dyDescent="0.3">
      <c r="A821" t="s">
        <v>653</v>
      </c>
      <c r="C821" t="s">
        <v>587</v>
      </c>
      <c r="G821" s="2" t="s">
        <v>1467</v>
      </c>
      <c r="I821" t="s">
        <v>610</v>
      </c>
    </row>
    <row r="822" spans="1:9" x14ac:dyDescent="0.3">
      <c r="A822" t="s">
        <v>654</v>
      </c>
      <c r="C822" t="s">
        <v>89</v>
      </c>
      <c r="G822" s="2"/>
      <c r="I822" t="s">
        <v>611</v>
      </c>
    </row>
    <row r="823" spans="1:9" x14ac:dyDescent="0.3">
      <c r="A823" t="s">
        <v>655</v>
      </c>
      <c r="C823" t="s">
        <v>588</v>
      </c>
      <c r="E823" t="s">
        <v>761</v>
      </c>
      <c r="G823" s="2" t="s">
        <v>3157</v>
      </c>
      <c r="I823" t="s">
        <v>612</v>
      </c>
    </row>
    <row r="824" spans="1:9" x14ac:dyDescent="0.3">
      <c r="A824" t="s">
        <v>656</v>
      </c>
      <c r="C824" t="s">
        <v>589</v>
      </c>
      <c r="E824" t="s">
        <v>1554</v>
      </c>
      <c r="G824" s="2"/>
      <c r="I824" t="s">
        <v>613</v>
      </c>
    </row>
    <row r="825" spans="1:9" x14ac:dyDescent="0.3">
      <c r="A825" t="s">
        <v>657</v>
      </c>
      <c r="C825" t="s">
        <v>590</v>
      </c>
      <c r="G825" s="11" t="s">
        <v>651</v>
      </c>
      <c r="I825" t="s">
        <v>89</v>
      </c>
    </row>
    <row r="826" spans="1:9" x14ac:dyDescent="0.3">
      <c r="A826" t="s">
        <v>658</v>
      </c>
      <c r="C826" t="s">
        <v>591</v>
      </c>
      <c r="E826" t="s">
        <v>3172</v>
      </c>
      <c r="G826" s="11" t="s">
        <v>652</v>
      </c>
      <c r="I826" t="s">
        <v>614</v>
      </c>
    </row>
    <row r="827" spans="1:9" x14ac:dyDescent="0.3">
      <c r="A827" t="s">
        <v>659</v>
      </c>
      <c r="C827" t="s">
        <v>592</v>
      </c>
      <c r="G827" s="2" t="s">
        <v>653</v>
      </c>
      <c r="I827" t="e">
        <f>- che sia consentito al soggetto verbalizzante di percepire</f>
        <v>#NAME?</v>
      </c>
    </row>
    <row r="828" spans="1:9" x14ac:dyDescent="0.3">
      <c r="A828" t="s">
        <v>660</v>
      </c>
      <c r="C828" t="s">
        <v>593</v>
      </c>
      <c r="E828" t="s">
        <v>1583</v>
      </c>
      <c r="G828" s="2" t="s">
        <v>654</v>
      </c>
      <c r="I828" t="s">
        <v>615</v>
      </c>
    </row>
    <row r="829" spans="1:9" x14ac:dyDescent="0.3">
      <c r="A829" t="s">
        <v>661</v>
      </c>
      <c r="C829" t="s">
        <v>594</v>
      </c>
      <c r="E829" t="s">
        <v>1583</v>
      </c>
      <c r="G829" s="11" t="s">
        <v>655</v>
      </c>
      <c r="I829" t="s">
        <v>1496</v>
      </c>
    </row>
    <row r="830" spans="1:9" x14ac:dyDescent="0.3">
      <c r="A830" t="s">
        <v>662</v>
      </c>
      <c r="C830" t="s">
        <v>595</v>
      </c>
      <c r="E830" t="s">
        <v>1584</v>
      </c>
      <c r="G830" s="2" t="s">
        <v>656</v>
      </c>
    </row>
    <row r="831" spans="1:9" x14ac:dyDescent="0.3">
      <c r="A831" t="s">
        <v>663</v>
      </c>
      <c r="C831" t="s">
        <v>596</v>
      </c>
      <c r="E831" t="s">
        <v>1585</v>
      </c>
      <c r="G831" s="11" t="s">
        <v>657</v>
      </c>
    </row>
    <row r="832" spans="1:9" x14ac:dyDescent="0.3">
      <c r="A832" t="s">
        <v>1499</v>
      </c>
      <c r="C832" t="s">
        <v>597</v>
      </c>
      <c r="E832" t="s">
        <v>1586</v>
      </c>
      <c r="G832" s="2" t="s">
        <v>658</v>
      </c>
      <c r="I832" t="s">
        <v>761</v>
      </c>
    </row>
    <row r="833" spans="1:9" x14ac:dyDescent="0.3">
      <c r="C833" t="s">
        <v>598</v>
      </c>
      <c r="E833" t="s">
        <v>89</v>
      </c>
      <c r="G833" s="2" t="s">
        <v>659</v>
      </c>
      <c r="I833" t="s">
        <v>1467</v>
      </c>
    </row>
    <row r="834" spans="1:9" x14ac:dyDescent="0.3">
      <c r="C834" t="s">
        <v>599</v>
      </c>
      <c r="E834" t="s">
        <v>1587</v>
      </c>
      <c r="G834" s="2" t="s">
        <v>660</v>
      </c>
    </row>
    <row r="835" spans="1:9" x14ac:dyDescent="0.3">
      <c r="A835" t="s">
        <v>823</v>
      </c>
      <c r="C835" t="s">
        <v>600</v>
      </c>
      <c r="E835" t="s">
        <v>1588</v>
      </c>
      <c r="G835" s="2" t="s">
        <v>661</v>
      </c>
      <c r="I835" t="s">
        <v>3172</v>
      </c>
    </row>
    <row r="836" spans="1:9" x14ac:dyDescent="0.3">
      <c r="A836" t="s">
        <v>1467</v>
      </c>
      <c r="C836" t="s">
        <v>601</v>
      </c>
      <c r="E836" t="s">
        <v>1589</v>
      </c>
      <c r="G836" s="2" t="s">
        <v>662</v>
      </c>
    </row>
    <row r="837" spans="1:9" x14ac:dyDescent="0.3">
      <c r="C837" t="s">
        <v>602</v>
      </c>
      <c r="E837" t="s">
        <v>1590</v>
      </c>
      <c r="G837" s="2" t="s">
        <v>663</v>
      </c>
      <c r="I837" t="s">
        <v>612</v>
      </c>
    </row>
    <row r="838" spans="1:9" x14ac:dyDescent="0.3">
      <c r="A838" t="s">
        <v>665</v>
      </c>
      <c r="E838" t="s">
        <v>1591</v>
      </c>
      <c r="G838" s="2" t="s">
        <v>664</v>
      </c>
      <c r="I838" t="s">
        <v>613</v>
      </c>
    </row>
    <row r="839" spans="1:9" x14ac:dyDescent="0.3">
      <c r="A839" t="s">
        <v>668</v>
      </c>
      <c r="E839" t="s">
        <v>1594</v>
      </c>
      <c r="G839" s="2" t="s">
        <v>665</v>
      </c>
      <c r="I839" t="s">
        <v>89</v>
      </c>
    </row>
    <row r="840" spans="1:9" x14ac:dyDescent="0.3">
      <c r="A840" t="s">
        <v>89</v>
      </c>
      <c r="C840" t="s">
        <v>603</v>
      </c>
      <c r="E840" t="e">
        <f>- la consulenza alle imprese e alle persone in tue le forme e i seori.</f>
        <v>#NAME?</v>
      </c>
      <c r="G840" s="2" t="s">
        <v>668</v>
      </c>
      <c r="I840" t="s">
        <v>614</v>
      </c>
    </row>
    <row r="841" spans="1:9" x14ac:dyDescent="0.3">
      <c r="A841" t="s">
        <v>669</v>
      </c>
      <c r="C841" t="s">
        <v>1467</v>
      </c>
      <c r="G841" s="2" t="s">
        <v>89</v>
      </c>
      <c r="I841" t="e">
        <f>- che sia consentito al soggetto verbalizzante di percepire</f>
        <v>#NAME?</v>
      </c>
    </row>
    <row r="842" spans="1:9" x14ac:dyDescent="0.3">
      <c r="A842" t="s">
        <v>670</v>
      </c>
      <c r="G842" s="2" t="s">
        <v>669</v>
      </c>
      <c r="I842" t="s">
        <v>615</v>
      </c>
    </row>
    <row r="843" spans="1:9" x14ac:dyDescent="0.3">
      <c r="A843" t="s">
        <v>671</v>
      </c>
      <c r="C843" t="s">
        <v>3164</v>
      </c>
      <c r="E843" t="s">
        <v>780</v>
      </c>
      <c r="G843" s="2" t="s">
        <v>670</v>
      </c>
      <c r="I843" t="s">
        <v>616</v>
      </c>
    </row>
    <row r="844" spans="1:9" x14ac:dyDescent="0.3">
      <c r="A844" t="s">
        <v>672</v>
      </c>
      <c r="E844" t="s">
        <v>1554</v>
      </c>
      <c r="G844" s="2" t="s">
        <v>671</v>
      </c>
      <c r="I844" t="s">
        <v>617</v>
      </c>
    </row>
    <row r="845" spans="1:9" x14ac:dyDescent="0.3">
      <c r="A845" t="s">
        <v>673</v>
      </c>
      <c r="C845" t="s">
        <v>598</v>
      </c>
      <c r="G845" s="2" t="s">
        <v>672</v>
      </c>
      <c r="I845" t="s">
        <v>618</v>
      </c>
    </row>
    <row r="846" spans="1:9" x14ac:dyDescent="0.3">
      <c r="A846" t="s">
        <v>674</v>
      </c>
      <c r="C846" t="s">
        <v>599</v>
      </c>
      <c r="E846" t="s">
        <v>3173</v>
      </c>
      <c r="G846" s="2" t="s">
        <v>673</v>
      </c>
      <c r="I846" t="s">
        <v>619</v>
      </c>
    </row>
    <row r="847" spans="1:9" x14ac:dyDescent="0.3">
      <c r="A847" t="s">
        <v>675</v>
      </c>
      <c r="C847" t="s">
        <v>600</v>
      </c>
      <c r="G847" s="2" t="s">
        <v>674</v>
      </c>
      <c r="I847" t="s">
        <v>620</v>
      </c>
    </row>
    <row r="848" spans="1:9" x14ac:dyDescent="0.3">
      <c r="A848" t="s">
        <v>676</v>
      </c>
      <c r="C848" t="s">
        <v>601</v>
      </c>
      <c r="E848" t="s">
        <v>1595</v>
      </c>
      <c r="G848" s="2" t="s">
        <v>675</v>
      </c>
      <c r="I848" t="s">
        <v>621</v>
      </c>
    </row>
    <row r="849" spans="1:9" x14ac:dyDescent="0.3">
      <c r="A849" t="s">
        <v>677</v>
      </c>
      <c r="C849" t="s">
        <v>604</v>
      </c>
      <c r="E849" t="s">
        <v>3494</v>
      </c>
      <c r="G849" s="2" t="s">
        <v>676</v>
      </c>
      <c r="I849" t="s">
        <v>622</v>
      </c>
    </row>
    <row r="850" spans="1:9" x14ac:dyDescent="0.3">
      <c r="A850" t="s">
        <v>678</v>
      </c>
      <c r="C850" t="s">
        <v>605</v>
      </c>
      <c r="E850" t="s">
        <v>1598</v>
      </c>
      <c r="G850" s="2" t="s">
        <v>677</v>
      </c>
      <c r="I850" t="s">
        <v>625</v>
      </c>
    </row>
    <row r="851" spans="1:9" x14ac:dyDescent="0.3">
      <c r="A851" t="s">
        <v>679</v>
      </c>
      <c r="C851" t="s">
        <v>606</v>
      </c>
      <c r="E851" t="s">
        <v>1599</v>
      </c>
      <c r="G851" s="2" t="s">
        <v>678</v>
      </c>
      <c r="I851" t="s">
        <v>626</v>
      </c>
    </row>
    <row r="852" spans="1:9" x14ac:dyDescent="0.3">
      <c r="A852" t="s">
        <v>680</v>
      </c>
      <c r="C852" t="e">
        <f>- che siano presenti nello stesso luogo il presidente ed il</f>
        <v>#NAME?</v>
      </c>
      <c r="E852" t="s">
        <v>3495</v>
      </c>
      <c r="G852" s="2" t="s">
        <v>679</v>
      </c>
      <c r="I852" t="s">
        <v>627</v>
      </c>
    </row>
    <row r="853" spans="1:9" x14ac:dyDescent="0.3">
      <c r="A853" t="s">
        <v>681</v>
      </c>
      <c r="C853" t="s">
        <v>607</v>
      </c>
      <c r="E853" t="s">
        <v>1602</v>
      </c>
      <c r="G853" s="2" t="s">
        <v>680</v>
      </c>
      <c r="I853" t="s">
        <v>628</v>
      </c>
    </row>
    <row r="854" spans="1:9" x14ac:dyDescent="0.3">
      <c r="A854" t="s">
        <v>682</v>
      </c>
      <c r="C854" t="s">
        <v>608</v>
      </c>
      <c r="E854" t="s">
        <v>1603</v>
      </c>
      <c r="G854" s="2" t="s">
        <v>681</v>
      </c>
      <c r="I854" t="s">
        <v>629</v>
      </c>
    </row>
    <row r="855" spans="1:9" x14ac:dyDescent="0.3">
      <c r="A855" t="s">
        <v>683</v>
      </c>
      <c r="C855" t="s">
        <v>609</v>
      </c>
      <c r="E855" t="s">
        <v>1604</v>
      </c>
      <c r="G855" s="2" t="s">
        <v>682</v>
      </c>
      <c r="I855" t="s">
        <v>630</v>
      </c>
    </row>
    <row r="856" spans="1:9" x14ac:dyDescent="0.3">
      <c r="A856" t="s">
        <v>684</v>
      </c>
      <c r="C856" t="s">
        <v>610</v>
      </c>
      <c r="E856" t="s">
        <v>3496</v>
      </c>
      <c r="G856" s="2" t="s">
        <v>683</v>
      </c>
      <c r="I856" t="s">
        <v>631</v>
      </c>
    </row>
    <row r="857" spans="1:9" x14ac:dyDescent="0.3">
      <c r="A857" t="s">
        <v>687</v>
      </c>
      <c r="C857" t="s">
        <v>611</v>
      </c>
      <c r="E857" t="s">
        <v>1608</v>
      </c>
      <c r="G857" s="2" t="s">
        <v>684</v>
      </c>
      <c r="I857" t="s">
        <v>632</v>
      </c>
    </row>
    <row r="858" spans="1:9" x14ac:dyDescent="0.3">
      <c r="A858" t="s">
        <v>688</v>
      </c>
      <c r="C858" t="s">
        <v>612</v>
      </c>
      <c r="E858" t="s">
        <v>3497</v>
      </c>
      <c r="G858" s="2" t="s">
        <v>687</v>
      </c>
      <c r="I858" t="s">
        <v>633</v>
      </c>
    </row>
    <row r="859" spans="1:9" x14ac:dyDescent="0.3">
      <c r="A859" t="s">
        <v>689</v>
      </c>
      <c r="C859" t="s">
        <v>613</v>
      </c>
      <c r="G859" s="2" t="s">
        <v>3957</v>
      </c>
      <c r="I859" t="s">
        <v>634</v>
      </c>
    </row>
    <row r="860" spans="1:9" x14ac:dyDescent="0.3">
      <c r="A860" t="s">
        <v>690</v>
      </c>
      <c r="C860" t="s">
        <v>89</v>
      </c>
      <c r="G860" s="2"/>
      <c r="I860" t="s">
        <v>635</v>
      </c>
    </row>
    <row r="861" spans="1:9" x14ac:dyDescent="0.3">
      <c r="A861" t="s">
        <v>691</v>
      </c>
      <c r="C861" t="s">
        <v>614</v>
      </c>
      <c r="E861" t="s">
        <v>803</v>
      </c>
      <c r="G861" s="2"/>
      <c r="I861" t="s">
        <v>1497</v>
      </c>
    </row>
    <row r="862" spans="1:9" x14ac:dyDescent="0.3">
      <c r="A862" t="s">
        <v>692</v>
      </c>
      <c r="C862" t="e">
        <f>- che sia consentito al soggetto verbalizzante di percepire</f>
        <v>#NAME?</v>
      </c>
      <c r="E862" t="s">
        <v>1554</v>
      </c>
      <c r="G862" s="2" t="s">
        <v>481</v>
      </c>
    </row>
    <row r="863" spans="1:9" x14ac:dyDescent="0.3">
      <c r="A863" t="s">
        <v>1500</v>
      </c>
      <c r="C863" t="s">
        <v>615</v>
      </c>
      <c r="G863" s="2" t="s">
        <v>1467</v>
      </c>
    </row>
    <row r="864" spans="1:9" x14ac:dyDescent="0.3">
      <c r="C864" t="s">
        <v>616</v>
      </c>
      <c r="E864" t="s">
        <v>3174</v>
      </c>
      <c r="G864" s="2"/>
      <c r="I864" t="s">
        <v>780</v>
      </c>
    </row>
    <row r="865" spans="1:9" x14ac:dyDescent="0.3">
      <c r="C865" t="s">
        <v>617</v>
      </c>
      <c r="G865" s="2" t="s">
        <v>3158</v>
      </c>
      <c r="I865" t="s">
        <v>1467</v>
      </c>
    </row>
    <row r="866" spans="1:9" x14ac:dyDescent="0.3">
      <c r="A866" t="s">
        <v>845</v>
      </c>
      <c r="C866" t="s">
        <v>618</v>
      </c>
      <c r="E866" t="s">
        <v>3498</v>
      </c>
      <c r="G866" s="2"/>
    </row>
    <row r="867" spans="1:9" x14ac:dyDescent="0.3">
      <c r="A867" t="s">
        <v>1467</v>
      </c>
      <c r="C867" t="s">
        <v>619</v>
      </c>
      <c r="E867" t="s">
        <v>1612</v>
      </c>
      <c r="G867" s="11" t="s">
        <v>681</v>
      </c>
      <c r="I867" t="s">
        <v>3173</v>
      </c>
    </row>
    <row r="868" spans="1:9" x14ac:dyDescent="0.3">
      <c r="C868" t="s">
        <v>620</v>
      </c>
      <c r="E868" t="s">
        <v>1613</v>
      </c>
      <c r="G868" s="11" t="s">
        <v>682</v>
      </c>
    </row>
    <row r="869" spans="1:9" x14ac:dyDescent="0.3">
      <c r="A869" t="s">
        <v>694</v>
      </c>
      <c r="C869" t="s">
        <v>621</v>
      </c>
      <c r="E869" t="s">
        <v>3499</v>
      </c>
      <c r="G869" s="2" t="s">
        <v>683</v>
      </c>
      <c r="I869" t="s">
        <v>637</v>
      </c>
    </row>
    <row r="870" spans="1:9" x14ac:dyDescent="0.3">
      <c r="A870" t="s">
        <v>695</v>
      </c>
      <c r="C870" t="s">
        <v>622</v>
      </c>
      <c r="E870" t="s">
        <v>1617</v>
      </c>
      <c r="G870" s="2" t="s">
        <v>684</v>
      </c>
      <c r="I870" t="s">
        <v>638</v>
      </c>
    </row>
    <row r="871" spans="1:9" x14ac:dyDescent="0.3">
      <c r="A871" t="s">
        <v>89</v>
      </c>
      <c r="C871" t="s">
        <v>623</v>
      </c>
      <c r="E871" t="s">
        <v>3500</v>
      </c>
      <c r="G871" s="11" t="s">
        <v>687</v>
      </c>
      <c r="I871" t="s">
        <v>639</v>
      </c>
    </row>
    <row r="872" spans="1:9" x14ac:dyDescent="0.3">
      <c r="A872" t="s">
        <v>696</v>
      </c>
      <c r="E872" t="s">
        <v>1620</v>
      </c>
      <c r="G872" s="2" t="s">
        <v>688</v>
      </c>
      <c r="I872" t="s">
        <v>89</v>
      </c>
    </row>
    <row r="873" spans="1:9" x14ac:dyDescent="0.3">
      <c r="A873" t="s">
        <v>697</v>
      </c>
      <c r="E873" t="s">
        <v>3501</v>
      </c>
      <c r="G873" s="11" t="s">
        <v>689</v>
      </c>
      <c r="I873" t="s">
        <v>640</v>
      </c>
    </row>
    <row r="874" spans="1:9" x14ac:dyDescent="0.3">
      <c r="A874" t="s">
        <v>698</v>
      </c>
      <c r="C874" t="s">
        <v>624</v>
      </c>
      <c r="E874" t="s">
        <v>3502</v>
      </c>
      <c r="G874" s="2" t="s">
        <v>690</v>
      </c>
      <c r="I874" t="s">
        <v>641</v>
      </c>
    </row>
    <row r="875" spans="1:9" x14ac:dyDescent="0.3">
      <c r="A875" t="s">
        <v>699</v>
      </c>
      <c r="C875" t="s">
        <v>1467</v>
      </c>
      <c r="E875" t="s">
        <v>3503</v>
      </c>
      <c r="G875" s="2" t="s">
        <v>691</v>
      </c>
      <c r="I875" t="s">
        <v>642</v>
      </c>
    </row>
    <row r="876" spans="1:9" x14ac:dyDescent="0.3">
      <c r="A876" t="s">
        <v>700</v>
      </c>
      <c r="E876" t="s">
        <v>1626</v>
      </c>
      <c r="G876" s="2" t="s">
        <v>692</v>
      </c>
      <c r="I876" t="s">
        <v>643</v>
      </c>
    </row>
    <row r="877" spans="1:9" x14ac:dyDescent="0.3">
      <c r="A877" t="s">
        <v>701</v>
      </c>
      <c r="C877" t="s">
        <v>3165</v>
      </c>
      <c r="E877" t="s">
        <v>1627</v>
      </c>
      <c r="G877" s="2" t="s">
        <v>693</v>
      </c>
      <c r="I877" t="s">
        <v>644</v>
      </c>
    </row>
    <row r="878" spans="1:9" x14ac:dyDescent="0.3">
      <c r="A878" t="s">
        <v>1501</v>
      </c>
      <c r="E878" t="s">
        <v>3504</v>
      </c>
      <c r="G878" s="2" t="s">
        <v>694</v>
      </c>
      <c r="I878" t="s">
        <v>647</v>
      </c>
    </row>
    <row r="879" spans="1:9" x14ac:dyDescent="0.3">
      <c r="C879" t="s">
        <v>619</v>
      </c>
      <c r="G879" s="2" t="s">
        <v>695</v>
      </c>
      <c r="I879" t="s">
        <v>648</v>
      </c>
    </row>
    <row r="880" spans="1:9" x14ac:dyDescent="0.3">
      <c r="C880" t="s">
        <v>620</v>
      </c>
      <c r="G880" s="2" t="s">
        <v>89</v>
      </c>
      <c r="I880" t="s">
        <v>1498</v>
      </c>
    </row>
    <row r="881" spans="1:9" x14ac:dyDescent="0.3">
      <c r="A881" t="s">
        <v>866</v>
      </c>
      <c r="C881" t="s">
        <v>621</v>
      </c>
      <c r="E881" t="s">
        <v>823</v>
      </c>
      <c r="G881" s="2" t="s">
        <v>696</v>
      </c>
    </row>
    <row r="882" spans="1:9" x14ac:dyDescent="0.3">
      <c r="A882" t="s">
        <v>1467</v>
      </c>
      <c r="C882" t="s">
        <v>622</v>
      </c>
      <c r="E882" t="s">
        <v>1554</v>
      </c>
      <c r="G882" s="2" t="s">
        <v>697</v>
      </c>
    </row>
    <row r="883" spans="1:9" x14ac:dyDescent="0.3">
      <c r="C883" t="s">
        <v>625</v>
      </c>
      <c r="G883" s="2" t="s">
        <v>698</v>
      </c>
      <c r="I883" t="s">
        <v>803</v>
      </c>
    </row>
    <row r="884" spans="1:9" x14ac:dyDescent="0.3">
      <c r="A884" t="s">
        <v>703</v>
      </c>
      <c r="C884" t="s">
        <v>626</v>
      </c>
      <c r="E884" t="s">
        <v>3175</v>
      </c>
      <c r="G884" s="2" t="s">
        <v>699</v>
      </c>
      <c r="I884" t="s">
        <v>1467</v>
      </c>
    </row>
    <row r="885" spans="1:9" x14ac:dyDescent="0.3">
      <c r="A885" t="s">
        <v>704</v>
      </c>
      <c r="C885" t="s">
        <v>627</v>
      </c>
      <c r="G885" s="2" t="s">
        <v>700</v>
      </c>
    </row>
    <row r="886" spans="1:9" x14ac:dyDescent="0.3">
      <c r="A886" t="s">
        <v>705</v>
      </c>
      <c r="C886" t="s">
        <v>628</v>
      </c>
      <c r="E886" t="s">
        <v>1629</v>
      </c>
      <c r="G886" s="2" t="s">
        <v>701</v>
      </c>
      <c r="I886" t="s">
        <v>3174</v>
      </c>
    </row>
    <row r="887" spans="1:9" x14ac:dyDescent="0.3">
      <c r="A887" t="s">
        <v>708</v>
      </c>
      <c r="C887" t="s">
        <v>629</v>
      </c>
      <c r="E887" t="s">
        <v>1630</v>
      </c>
      <c r="G887" s="2" t="s">
        <v>702</v>
      </c>
    </row>
    <row r="888" spans="1:9" x14ac:dyDescent="0.3">
      <c r="A888" t="s">
        <v>709</v>
      </c>
      <c r="C888" t="s">
        <v>630</v>
      </c>
      <c r="E888" t="s">
        <v>1631</v>
      </c>
      <c r="G888" s="2" t="s">
        <v>703</v>
      </c>
      <c r="I888" t="s">
        <v>650</v>
      </c>
    </row>
    <row r="889" spans="1:9" x14ac:dyDescent="0.3">
      <c r="A889" t="s">
        <v>710</v>
      </c>
      <c r="C889" t="s">
        <v>631</v>
      </c>
      <c r="E889" t="s">
        <v>1632</v>
      </c>
      <c r="G889" s="2" t="s">
        <v>704</v>
      </c>
      <c r="I889" t="s">
        <v>651</v>
      </c>
    </row>
    <row r="890" spans="1:9" x14ac:dyDescent="0.3">
      <c r="A890" t="s">
        <v>711</v>
      </c>
      <c r="C890" t="s">
        <v>632</v>
      </c>
      <c r="E890" t="s">
        <v>3505</v>
      </c>
      <c r="G890" s="2" t="s">
        <v>705</v>
      </c>
      <c r="I890" t="s">
        <v>652</v>
      </c>
    </row>
    <row r="891" spans="1:9" x14ac:dyDescent="0.3">
      <c r="A891" t="s">
        <v>712</v>
      </c>
      <c r="C891" t="s">
        <v>633</v>
      </c>
      <c r="E891" t="s">
        <v>3506</v>
      </c>
      <c r="G891" s="2" t="s">
        <v>708</v>
      </c>
      <c r="I891" t="s">
        <v>653</v>
      </c>
    </row>
    <row r="892" spans="1:9" x14ac:dyDescent="0.3">
      <c r="A892" t="s">
        <v>713</v>
      </c>
      <c r="C892" t="s">
        <v>634</v>
      </c>
      <c r="E892" t="s">
        <v>1638</v>
      </c>
      <c r="G892" s="2" t="s">
        <v>709</v>
      </c>
      <c r="I892" t="s">
        <v>654</v>
      </c>
    </row>
    <row r="893" spans="1:9" x14ac:dyDescent="0.3">
      <c r="A893" t="s">
        <v>714</v>
      </c>
      <c r="C893" t="s">
        <v>635</v>
      </c>
      <c r="E893" t="s">
        <v>1639</v>
      </c>
      <c r="G893" s="2" t="s">
        <v>710</v>
      </c>
      <c r="I893" t="s">
        <v>655</v>
      </c>
    </row>
    <row r="894" spans="1:9" x14ac:dyDescent="0.3">
      <c r="A894" t="s">
        <v>715</v>
      </c>
      <c r="C894" t="s">
        <v>636</v>
      </c>
      <c r="E894" t="s">
        <v>1640</v>
      </c>
      <c r="G894" s="2" t="s">
        <v>711</v>
      </c>
      <c r="I894" t="s">
        <v>656</v>
      </c>
    </row>
    <row r="895" spans="1:9" x14ac:dyDescent="0.3">
      <c r="A895" t="s">
        <v>716</v>
      </c>
      <c r="C895" t="s">
        <v>637</v>
      </c>
      <c r="E895" t="s">
        <v>3507</v>
      </c>
      <c r="G895" s="2" t="s">
        <v>712</v>
      </c>
      <c r="I895" t="s">
        <v>657</v>
      </c>
    </row>
    <row r="896" spans="1:9" x14ac:dyDescent="0.3">
      <c r="A896" t="s">
        <v>1502</v>
      </c>
      <c r="C896" t="s">
        <v>638</v>
      </c>
      <c r="E896" t="s">
        <v>1643</v>
      </c>
      <c r="G896" s="2" t="s">
        <v>713</v>
      </c>
      <c r="I896" t="s">
        <v>658</v>
      </c>
    </row>
    <row r="897" spans="1:9" x14ac:dyDescent="0.3">
      <c r="C897" t="s">
        <v>639</v>
      </c>
      <c r="E897" t="s">
        <v>3508</v>
      </c>
      <c r="G897" s="2" t="s">
        <v>714</v>
      </c>
      <c r="I897" t="s">
        <v>659</v>
      </c>
    </row>
    <row r="898" spans="1:9" x14ac:dyDescent="0.3">
      <c r="C898" t="s">
        <v>89</v>
      </c>
      <c r="E898" t="s">
        <v>1646</v>
      </c>
      <c r="G898" s="2" t="s">
        <v>715</v>
      </c>
      <c r="I898" t="s">
        <v>660</v>
      </c>
    </row>
    <row r="899" spans="1:9" x14ac:dyDescent="0.3">
      <c r="A899" t="s">
        <v>888</v>
      </c>
      <c r="C899" t="s">
        <v>640</v>
      </c>
      <c r="E899" t="s">
        <v>1647</v>
      </c>
      <c r="G899" s="2" t="s">
        <v>716</v>
      </c>
      <c r="I899" t="s">
        <v>661</v>
      </c>
    </row>
    <row r="900" spans="1:9" x14ac:dyDescent="0.3">
      <c r="A900" t="s">
        <v>1467</v>
      </c>
      <c r="C900" t="s">
        <v>641</v>
      </c>
      <c r="E900" t="s">
        <v>3509</v>
      </c>
      <c r="G900" s="2" t="s">
        <v>717</v>
      </c>
      <c r="I900" t="s">
        <v>662</v>
      </c>
    </row>
    <row r="901" spans="1:9" x14ac:dyDescent="0.3">
      <c r="C901" t="s">
        <v>642</v>
      </c>
      <c r="G901" s="2" t="s">
        <v>3075</v>
      </c>
      <c r="I901" t="s">
        <v>663</v>
      </c>
    </row>
    <row r="902" spans="1:9" x14ac:dyDescent="0.3">
      <c r="A902" t="s">
        <v>718</v>
      </c>
      <c r="C902" t="s">
        <v>643</v>
      </c>
      <c r="G902" s="2"/>
      <c r="I902" t="s">
        <v>1499</v>
      </c>
    </row>
    <row r="903" spans="1:9" x14ac:dyDescent="0.3">
      <c r="A903" t="s">
        <v>719</v>
      </c>
      <c r="C903" t="s">
        <v>644</v>
      </c>
      <c r="E903" t="s">
        <v>845</v>
      </c>
      <c r="G903" s="2"/>
    </row>
    <row r="904" spans="1:9" x14ac:dyDescent="0.3">
      <c r="A904" t="s">
        <v>720</v>
      </c>
      <c r="C904" t="s">
        <v>645</v>
      </c>
      <c r="E904" t="s">
        <v>1554</v>
      </c>
      <c r="G904" s="2" t="s">
        <v>501</v>
      </c>
    </row>
    <row r="905" spans="1:9" x14ac:dyDescent="0.3">
      <c r="A905" t="s">
        <v>721</v>
      </c>
      <c r="G905" s="2" t="s">
        <v>1467</v>
      </c>
      <c r="I905" t="s">
        <v>823</v>
      </c>
    </row>
    <row r="906" spans="1:9" x14ac:dyDescent="0.3">
      <c r="A906" t="s">
        <v>722</v>
      </c>
      <c r="E906" t="s">
        <v>3176</v>
      </c>
      <c r="G906" s="2"/>
      <c r="I906" t="s">
        <v>1467</v>
      </c>
    </row>
    <row r="907" spans="1:9" x14ac:dyDescent="0.3">
      <c r="A907" t="s">
        <v>89</v>
      </c>
      <c r="C907" t="s">
        <v>646</v>
      </c>
      <c r="G907" s="2" t="s">
        <v>3159</v>
      </c>
    </row>
    <row r="908" spans="1:9" x14ac:dyDescent="0.3">
      <c r="A908" t="s">
        <v>723</v>
      </c>
      <c r="C908" t="s">
        <v>1467</v>
      </c>
      <c r="E908" t="s">
        <v>3510</v>
      </c>
      <c r="G908" s="2"/>
      <c r="I908" t="s">
        <v>3175</v>
      </c>
    </row>
    <row r="909" spans="1:9" x14ac:dyDescent="0.3">
      <c r="A909" t="s">
        <v>724</v>
      </c>
      <c r="E909" t="s">
        <v>1650</v>
      </c>
      <c r="G909" s="11" t="s">
        <v>712</v>
      </c>
    </row>
    <row r="910" spans="1:9" x14ac:dyDescent="0.3">
      <c r="A910" t="s">
        <v>89</v>
      </c>
      <c r="C910" t="s">
        <v>3166</v>
      </c>
      <c r="E910" t="s">
        <v>1651</v>
      </c>
      <c r="G910" s="11" t="s">
        <v>713</v>
      </c>
      <c r="I910" t="s">
        <v>665</v>
      </c>
    </row>
    <row r="911" spans="1:9" x14ac:dyDescent="0.3">
      <c r="A911" t="s">
        <v>727</v>
      </c>
      <c r="E911" t="s">
        <v>3511</v>
      </c>
      <c r="G911" s="2" t="s">
        <v>714</v>
      </c>
      <c r="I911" t="s">
        <v>668</v>
      </c>
    </row>
    <row r="912" spans="1:9" x14ac:dyDescent="0.3">
      <c r="A912" t="s">
        <v>728</v>
      </c>
      <c r="C912" t="s">
        <v>89</v>
      </c>
      <c r="E912" t="s">
        <v>1654</v>
      </c>
      <c r="G912" s="2" t="s">
        <v>715</v>
      </c>
      <c r="I912" t="s">
        <v>89</v>
      </c>
    </row>
    <row r="913" spans="1:9" x14ac:dyDescent="0.3">
      <c r="A913" t="s">
        <v>729</v>
      </c>
      <c r="C913" t="s">
        <v>640</v>
      </c>
      <c r="E913" t="s">
        <v>1655</v>
      </c>
      <c r="G913" s="11" t="s">
        <v>716</v>
      </c>
      <c r="I913" t="s">
        <v>669</v>
      </c>
    </row>
    <row r="914" spans="1:9" x14ac:dyDescent="0.3">
      <c r="A914" t="s">
        <v>730</v>
      </c>
      <c r="C914" t="s">
        <v>641</v>
      </c>
      <c r="E914" t="s">
        <v>3512</v>
      </c>
      <c r="G914" s="2" t="s">
        <v>717</v>
      </c>
      <c r="I914" t="s">
        <v>670</v>
      </c>
    </row>
    <row r="915" spans="1:9" x14ac:dyDescent="0.3">
      <c r="A915" t="s">
        <v>731</v>
      </c>
      <c r="C915" t="s">
        <v>642</v>
      </c>
      <c r="E915" t="s">
        <v>1658</v>
      </c>
      <c r="G915" s="11" t="s">
        <v>718</v>
      </c>
      <c r="I915" t="s">
        <v>671</v>
      </c>
    </row>
    <row r="916" spans="1:9" x14ac:dyDescent="0.3">
      <c r="A916" t="s">
        <v>732</v>
      </c>
      <c r="C916" t="s">
        <v>643</v>
      </c>
      <c r="E916" t="s">
        <v>3513</v>
      </c>
      <c r="G916" s="2" t="s">
        <v>719</v>
      </c>
      <c r="I916" t="s">
        <v>672</v>
      </c>
    </row>
    <row r="917" spans="1:9" x14ac:dyDescent="0.3">
      <c r="C917" t="s">
        <v>644</v>
      </c>
      <c r="E917" t="s">
        <v>1663</v>
      </c>
      <c r="G917" s="2" t="s">
        <v>720</v>
      </c>
      <c r="I917" t="s">
        <v>673</v>
      </c>
    </row>
    <row r="918" spans="1:9" x14ac:dyDescent="0.3">
      <c r="C918" t="s">
        <v>647</v>
      </c>
      <c r="E918" t="s">
        <v>1664</v>
      </c>
      <c r="G918" s="2" t="s">
        <v>721</v>
      </c>
      <c r="I918" t="s">
        <v>674</v>
      </c>
    </row>
    <row r="919" spans="1:9" x14ac:dyDescent="0.3">
      <c r="A919" t="s">
        <v>909</v>
      </c>
      <c r="C919" t="s">
        <v>648</v>
      </c>
      <c r="E919" t="s">
        <v>1665</v>
      </c>
      <c r="G919" s="2" t="s">
        <v>722</v>
      </c>
      <c r="I919" t="s">
        <v>675</v>
      </c>
    </row>
    <row r="920" spans="1:9" x14ac:dyDescent="0.3">
      <c r="A920" t="s">
        <v>1503</v>
      </c>
      <c r="C920" t="s">
        <v>649</v>
      </c>
      <c r="E920" t="s">
        <v>89</v>
      </c>
      <c r="G920" s="2" t="s">
        <v>89</v>
      </c>
      <c r="I920" t="s">
        <v>676</v>
      </c>
    </row>
    <row r="921" spans="1:9" x14ac:dyDescent="0.3">
      <c r="C921" t="s">
        <v>650</v>
      </c>
      <c r="E921" t="s">
        <v>3514</v>
      </c>
      <c r="G921" s="2" t="s">
        <v>723</v>
      </c>
      <c r="I921" t="s">
        <v>677</v>
      </c>
    </row>
    <row r="922" spans="1:9" x14ac:dyDescent="0.3">
      <c r="A922" t="s">
        <v>738</v>
      </c>
      <c r="C922" t="s">
        <v>651</v>
      </c>
      <c r="G922" s="2" t="s">
        <v>724</v>
      </c>
      <c r="I922" t="s">
        <v>678</v>
      </c>
    </row>
    <row r="923" spans="1:9" x14ac:dyDescent="0.3">
      <c r="A923" t="s">
        <v>739</v>
      </c>
      <c r="C923" t="s">
        <v>652</v>
      </c>
      <c r="G923" s="2" t="s">
        <v>89</v>
      </c>
      <c r="I923" t="s">
        <v>679</v>
      </c>
    </row>
    <row r="924" spans="1:9" x14ac:dyDescent="0.3">
      <c r="A924" t="s">
        <v>740</v>
      </c>
      <c r="C924" t="s">
        <v>653</v>
      </c>
      <c r="E924" t="s">
        <v>866</v>
      </c>
      <c r="G924" s="2" t="s">
        <v>727</v>
      </c>
      <c r="I924" t="s">
        <v>680</v>
      </c>
    </row>
    <row r="925" spans="1:9" x14ac:dyDescent="0.3">
      <c r="A925" t="s">
        <v>741</v>
      </c>
      <c r="C925" t="s">
        <v>654</v>
      </c>
      <c r="E925" t="s">
        <v>1554</v>
      </c>
      <c r="G925" s="2" t="s">
        <v>728</v>
      </c>
      <c r="I925" t="s">
        <v>681</v>
      </c>
    </row>
    <row r="926" spans="1:9" x14ac:dyDescent="0.3">
      <c r="A926" t="s">
        <v>1504</v>
      </c>
      <c r="C926" t="s">
        <v>655</v>
      </c>
      <c r="G926" s="2" t="s">
        <v>729</v>
      </c>
      <c r="I926" t="s">
        <v>682</v>
      </c>
    </row>
    <row r="927" spans="1:9" x14ac:dyDescent="0.3">
      <c r="C927" t="s">
        <v>656</v>
      </c>
      <c r="E927" t="s">
        <v>3177</v>
      </c>
      <c r="G927" s="2" t="s">
        <v>730</v>
      </c>
      <c r="I927" t="s">
        <v>683</v>
      </c>
    </row>
    <row r="928" spans="1:9" x14ac:dyDescent="0.3">
      <c r="C928" t="s">
        <v>657</v>
      </c>
      <c r="G928" s="2" t="s">
        <v>731</v>
      </c>
      <c r="I928" t="s">
        <v>684</v>
      </c>
    </row>
    <row r="929" spans="1:9" x14ac:dyDescent="0.3">
      <c r="A929" t="s">
        <v>933</v>
      </c>
      <c r="C929" t="s">
        <v>658</v>
      </c>
      <c r="E929" t="s">
        <v>3515</v>
      </c>
      <c r="G929" s="2" t="s">
        <v>732</v>
      </c>
      <c r="I929" t="s">
        <v>687</v>
      </c>
    </row>
    <row r="930" spans="1:9" x14ac:dyDescent="0.3">
      <c r="A930" t="s">
        <v>1503</v>
      </c>
      <c r="C930" t="s">
        <v>659</v>
      </c>
      <c r="E930" t="s">
        <v>1669</v>
      </c>
      <c r="G930" s="2"/>
      <c r="I930" t="s">
        <v>688</v>
      </c>
    </row>
    <row r="931" spans="1:9" x14ac:dyDescent="0.3">
      <c r="C931" t="s">
        <v>660</v>
      </c>
      <c r="E931" t="s">
        <v>1670</v>
      </c>
      <c r="G931" s="2"/>
      <c r="I931" t="s">
        <v>689</v>
      </c>
    </row>
    <row r="932" spans="1:9" x14ac:dyDescent="0.3">
      <c r="A932" t="s">
        <v>743</v>
      </c>
      <c r="C932" t="s">
        <v>661</v>
      </c>
      <c r="E932" t="s">
        <v>1671</v>
      </c>
      <c r="G932" s="2" t="s">
        <v>521</v>
      </c>
      <c r="I932" t="s">
        <v>690</v>
      </c>
    </row>
    <row r="933" spans="1:9" x14ac:dyDescent="0.3">
      <c r="A933" t="s">
        <v>744</v>
      </c>
      <c r="C933" t="s">
        <v>662</v>
      </c>
      <c r="E933" t="s">
        <v>1672</v>
      </c>
      <c r="G933" s="2" t="s">
        <v>1554</v>
      </c>
      <c r="I933" t="s">
        <v>691</v>
      </c>
    </row>
    <row r="934" spans="1:9" x14ac:dyDescent="0.3">
      <c r="A934" t="s">
        <v>745</v>
      </c>
      <c r="C934" t="s">
        <v>663</v>
      </c>
      <c r="E934" t="s">
        <v>3516</v>
      </c>
      <c r="G934" s="2"/>
      <c r="I934" t="s">
        <v>692</v>
      </c>
    </row>
    <row r="935" spans="1:9" x14ac:dyDescent="0.3">
      <c r="A935" t="s">
        <v>746</v>
      </c>
      <c r="C935" t="s">
        <v>664</v>
      </c>
      <c r="E935" t="s">
        <v>3517</v>
      </c>
      <c r="G935" s="2" t="s">
        <v>3160</v>
      </c>
      <c r="I935" t="s">
        <v>1500</v>
      </c>
    </row>
    <row r="936" spans="1:9" x14ac:dyDescent="0.3">
      <c r="A936" t="s">
        <v>747</v>
      </c>
      <c r="C936" t="s">
        <v>665</v>
      </c>
      <c r="E936" t="s">
        <v>1679</v>
      </c>
      <c r="G936" s="2"/>
    </row>
    <row r="937" spans="1:9" x14ac:dyDescent="0.3">
      <c r="A937" t="s">
        <v>748</v>
      </c>
      <c r="C937" t="s">
        <v>666</v>
      </c>
      <c r="E937" t="s">
        <v>3518</v>
      </c>
      <c r="G937" s="11" t="s">
        <v>3409</v>
      </c>
    </row>
    <row r="938" spans="1:9" x14ac:dyDescent="0.3">
      <c r="A938" t="s">
        <v>1505</v>
      </c>
      <c r="G938" s="11" t="s">
        <v>1334</v>
      </c>
      <c r="I938" t="s">
        <v>845</v>
      </c>
    </row>
    <row r="939" spans="1:9" x14ac:dyDescent="0.3">
      <c r="G939" s="2" t="s">
        <v>1335</v>
      </c>
      <c r="I939" t="s">
        <v>1467</v>
      </c>
    </row>
    <row r="940" spans="1:9" x14ac:dyDescent="0.3">
      <c r="C940" t="s">
        <v>667</v>
      </c>
      <c r="E940" t="s">
        <v>888</v>
      </c>
      <c r="G940" s="2" t="s">
        <v>1555</v>
      </c>
    </row>
    <row r="941" spans="1:9" x14ac:dyDescent="0.3">
      <c r="A941" t="s">
        <v>958</v>
      </c>
      <c r="C941" t="s">
        <v>1467</v>
      </c>
      <c r="E941" t="s">
        <v>1554</v>
      </c>
      <c r="G941" s="11" t="s">
        <v>3410</v>
      </c>
      <c r="I941" t="s">
        <v>3176</v>
      </c>
    </row>
    <row r="942" spans="1:9" x14ac:dyDescent="0.3">
      <c r="A942" t="s">
        <v>1503</v>
      </c>
      <c r="G942" s="2" t="s">
        <v>3411</v>
      </c>
    </row>
    <row r="943" spans="1:9" x14ac:dyDescent="0.3">
      <c r="C943" t="s">
        <v>3167</v>
      </c>
      <c r="E943" t="s">
        <v>3178</v>
      </c>
      <c r="G943" s="11" t="s">
        <v>3412</v>
      </c>
      <c r="I943" t="s">
        <v>694</v>
      </c>
    </row>
    <row r="944" spans="1:9" x14ac:dyDescent="0.3">
      <c r="A944" t="s">
        <v>750</v>
      </c>
      <c r="G944" s="2" t="s">
        <v>1558</v>
      </c>
      <c r="I944" t="s">
        <v>695</v>
      </c>
    </row>
    <row r="945" spans="1:9" x14ac:dyDescent="0.3">
      <c r="A945" t="s">
        <v>751</v>
      </c>
      <c r="C945" t="s">
        <v>662</v>
      </c>
      <c r="E945" t="s">
        <v>1681</v>
      </c>
      <c r="G945" s="2" t="s">
        <v>1559</v>
      </c>
      <c r="I945" t="s">
        <v>89</v>
      </c>
    </row>
    <row r="946" spans="1:9" x14ac:dyDescent="0.3">
      <c r="A946" t="s">
        <v>752</v>
      </c>
      <c r="C946" t="s">
        <v>663</v>
      </c>
      <c r="E946" t="s">
        <v>1682</v>
      </c>
      <c r="G946" s="2" t="s">
        <v>1560</v>
      </c>
      <c r="I946" t="s">
        <v>696</v>
      </c>
    </row>
    <row r="947" spans="1:9" x14ac:dyDescent="0.3">
      <c r="A947" t="s">
        <v>753</v>
      </c>
      <c r="C947" t="s">
        <v>664</v>
      </c>
      <c r="E947" t="s">
        <v>1683</v>
      </c>
      <c r="G947" s="2" t="s">
        <v>1561</v>
      </c>
      <c r="I947" t="s">
        <v>697</v>
      </c>
    </row>
    <row r="948" spans="1:9" x14ac:dyDescent="0.3">
      <c r="A948" t="s">
        <v>754</v>
      </c>
      <c r="C948" t="s">
        <v>665</v>
      </c>
      <c r="E948" t="s">
        <v>1684</v>
      </c>
      <c r="G948" s="2" t="s">
        <v>1562</v>
      </c>
      <c r="I948" t="s">
        <v>698</v>
      </c>
    </row>
    <row r="949" spans="1:9" x14ac:dyDescent="0.3">
      <c r="A949" t="s">
        <v>1506</v>
      </c>
      <c r="C949" t="s">
        <v>668</v>
      </c>
      <c r="E949" t="s">
        <v>1685</v>
      </c>
      <c r="G949" t="s">
        <v>1563</v>
      </c>
      <c r="I949" t="s">
        <v>699</v>
      </c>
    </row>
    <row r="950" spans="1:9" x14ac:dyDescent="0.3">
      <c r="C950" t="s">
        <v>89</v>
      </c>
      <c r="E950" t="s">
        <v>1686</v>
      </c>
      <c r="G950" t="s">
        <v>1564</v>
      </c>
      <c r="I950" t="s">
        <v>700</v>
      </c>
    </row>
    <row r="951" spans="1:9" x14ac:dyDescent="0.3">
      <c r="C951" t="s">
        <v>669</v>
      </c>
      <c r="E951" t="s">
        <v>1687</v>
      </c>
      <c r="G951" t="s">
        <v>1565</v>
      </c>
      <c r="I951" t="s">
        <v>701</v>
      </c>
    </row>
    <row r="952" spans="1:9" x14ac:dyDescent="0.3">
      <c r="A952" t="s">
        <v>979</v>
      </c>
      <c r="C952" t="s">
        <v>670</v>
      </c>
      <c r="E952" t="s">
        <v>1688</v>
      </c>
      <c r="G952" t="s">
        <v>1566</v>
      </c>
      <c r="I952" t="s">
        <v>1501</v>
      </c>
    </row>
    <row r="953" spans="1:9" x14ac:dyDescent="0.3">
      <c r="A953" t="s">
        <v>1503</v>
      </c>
      <c r="C953" t="s">
        <v>671</v>
      </c>
      <c r="E953" t="s">
        <v>1689</v>
      </c>
      <c r="G953" t="s">
        <v>1567</v>
      </c>
    </row>
    <row r="954" spans="1:9" x14ac:dyDescent="0.3">
      <c r="C954" t="s">
        <v>672</v>
      </c>
      <c r="E954" t="s">
        <v>3519</v>
      </c>
      <c r="G954" t="s">
        <v>1568</v>
      </c>
    </row>
    <row r="955" spans="1:9" x14ac:dyDescent="0.3">
      <c r="A955" t="s">
        <v>756</v>
      </c>
      <c r="C955" t="s">
        <v>673</v>
      </c>
      <c r="E955" t="s">
        <v>1694</v>
      </c>
      <c r="G955" t="s">
        <v>1569</v>
      </c>
      <c r="I955" t="s">
        <v>866</v>
      </c>
    </row>
    <row r="956" spans="1:9" x14ac:dyDescent="0.3">
      <c r="A956" t="s">
        <v>757</v>
      </c>
      <c r="C956" t="s">
        <v>674</v>
      </c>
      <c r="E956" t="s">
        <v>1695</v>
      </c>
      <c r="G956" t="s">
        <v>1570</v>
      </c>
      <c r="I956" t="s">
        <v>1467</v>
      </c>
    </row>
    <row r="957" spans="1:9" x14ac:dyDescent="0.3">
      <c r="A957" t="s">
        <v>758</v>
      </c>
      <c r="C957" t="s">
        <v>675</v>
      </c>
      <c r="E957" t="s">
        <v>1696</v>
      </c>
      <c r="G957" t="s">
        <v>1571</v>
      </c>
    </row>
    <row r="958" spans="1:9" x14ac:dyDescent="0.3">
      <c r="A958" t="s">
        <v>759</v>
      </c>
      <c r="C958" t="s">
        <v>676</v>
      </c>
      <c r="E958" t="s">
        <v>1697</v>
      </c>
      <c r="G958" t="s">
        <v>1572</v>
      </c>
      <c r="I958" t="s">
        <v>3177</v>
      </c>
    </row>
    <row r="959" spans="1:9" x14ac:dyDescent="0.3">
      <c r="A959" t="s">
        <v>762</v>
      </c>
      <c r="C959" t="s">
        <v>677</v>
      </c>
      <c r="E959" t="s">
        <v>3520</v>
      </c>
      <c r="G959" t="s">
        <v>1573</v>
      </c>
    </row>
    <row r="960" spans="1:9" x14ac:dyDescent="0.3">
      <c r="A960" t="s">
        <v>763</v>
      </c>
      <c r="C960" t="s">
        <v>678</v>
      </c>
      <c r="G960" t="s">
        <v>1574</v>
      </c>
      <c r="I960" t="s">
        <v>703</v>
      </c>
    </row>
    <row r="961" spans="1:9" x14ac:dyDescent="0.3">
      <c r="A961" t="s">
        <v>764</v>
      </c>
      <c r="C961" t="s">
        <v>679</v>
      </c>
      <c r="G961" t="s">
        <v>1575</v>
      </c>
      <c r="I961" t="s">
        <v>704</v>
      </c>
    </row>
    <row r="962" spans="1:9" x14ac:dyDescent="0.3">
      <c r="A962" t="s">
        <v>765</v>
      </c>
      <c r="C962" t="s">
        <v>680</v>
      </c>
      <c r="E962" t="s">
        <v>909</v>
      </c>
      <c r="G962" t="s">
        <v>1576</v>
      </c>
      <c r="I962" t="s">
        <v>705</v>
      </c>
    </row>
    <row r="963" spans="1:9" x14ac:dyDescent="0.3">
      <c r="A963" t="s">
        <v>766</v>
      </c>
      <c r="C963" t="s">
        <v>681</v>
      </c>
      <c r="E963" t="s">
        <v>1554</v>
      </c>
      <c r="I963" t="s">
        <v>708</v>
      </c>
    </row>
    <row r="964" spans="1:9" x14ac:dyDescent="0.3">
      <c r="A964" t="s">
        <v>767</v>
      </c>
      <c r="C964" t="s">
        <v>682</v>
      </c>
      <c r="I964" t="s">
        <v>709</v>
      </c>
    </row>
    <row r="965" spans="1:9" x14ac:dyDescent="0.3">
      <c r="A965" t="s">
        <v>768</v>
      </c>
      <c r="C965" t="s">
        <v>683</v>
      </c>
      <c r="E965" t="s">
        <v>3179</v>
      </c>
      <c r="G965" t="s">
        <v>543</v>
      </c>
      <c r="I965" t="s">
        <v>710</v>
      </c>
    </row>
    <row r="966" spans="1:9" x14ac:dyDescent="0.3">
      <c r="A966" t="s">
        <v>769</v>
      </c>
      <c r="C966" t="s">
        <v>684</v>
      </c>
      <c r="G966" t="s">
        <v>1554</v>
      </c>
      <c r="I966" t="s">
        <v>711</v>
      </c>
    </row>
    <row r="967" spans="1:9" x14ac:dyDescent="0.3">
      <c r="A967" t="s">
        <v>770</v>
      </c>
      <c r="C967" t="s">
        <v>685</v>
      </c>
      <c r="E967" t="s">
        <v>1699</v>
      </c>
      <c r="I967" t="s">
        <v>712</v>
      </c>
    </row>
    <row r="968" spans="1:9" x14ac:dyDescent="0.3">
      <c r="A968" t="s">
        <v>771</v>
      </c>
      <c r="E968" t="s">
        <v>1700</v>
      </c>
      <c r="G968" t="s">
        <v>3161</v>
      </c>
      <c r="I968" t="s">
        <v>713</v>
      </c>
    </row>
    <row r="969" spans="1:9" x14ac:dyDescent="0.3">
      <c r="A969" t="s">
        <v>772</v>
      </c>
      <c r="E969" t="s">
        <v>1701</v>
      </c>
      <c r="I969" t="s">
        <v>714</v>
      </c>
    </row>
    <row r="970" spans="1:9" x14ac:dyDescent="0.3">
      <c r="A970" t="s">
        <v>773</v>
      </c>
      <c r="C970" t="s">
        <v>686</v>
      </c>
      <c r="E970" t="s">
        <v>1702</v>
      </c>
      <c r="G970" t="s">
        <v>1574</v>
      </c>
      <c r="I970" t="s">
        <v>715</v>
      </c>
    </row>
    <row r="971" spans="1:9" x14ac:dyDescent="0.3">
      <c r="A971" t="s">
        <v>774</v>
      </c>
      <c r="C971" t="s">
        <v>1467</v>
      </c>
      <c r="E971" t="s">
        <v>1703</v>
      </c>
      <c r="G971" t="s">
        <v>1575</v>
      </c>
      <c r="I971" t="s">
        <v>716</v>
      </c>
    </row>
    <row r="972" spans="1:9" x14ac:dyDescent="0.3">
      <c r="A972" t="s">
        <v>775</v>
      </c>
      <c r="E972" t="s">
        <v>1704</v>
      </c>
      <c r="G972" t="s">
        <v>1576</v>
      </c>
      <c r="I972" t="s">
        <v>1502</v>
      </c>
    </row>
    <row r="973" spans="1:9" x14ac:dyDescent="0.3">
      <c r="A973" t="s">
        <v>776</v>
      </c>
      <c r="C973" t="s">
        <v>3168</v>
      </c>
      <c r="E973" t="s">
        <v>1705</v>
      </c>
      <c r="G973" t="s">
        <v>1578</v>
      </c>
    </row>
    <row r="974" spans="1:9" x14ac:dyDescent="0.3">
      <c r="A974" t="s">
        <v>777</v>
      </c>
      <c r="E974" t="s">
        <v>1706</v>
      </c>
      <c r="G974" t="s">
        <v>1579</v>
      </c>
    </row>
    <row r="975" spans="1:9" x14ac:dyDescent="0.3">
      <c r="A975" t="s">
        <v>778</v>
      </c>
      <c r="C975" t="s">
        <v>681</v>
      </c>
      <c r="E975" t="s">
        <v>1709</v>
      </c>
      <c r="G975" t="s">
        <v>1580</v>
      </c>
      <c r="I975" t="s">
        <v>888</v>
      </c>
    </row>
    <row r="976" spans="1:9" x14ac:dyDescent="0.3">
      <c r="A976" t="s">
        <v>779</v>
      </c>
      <c r="C976" t="s">
        <v>682</v>
      </c>
      <c r="E976" t="s">
        <v>3521</v>
      </c>
      <c r="G976" t="s">
        <v>1581</v>
      </c>
      <c r="I976" t="s">
        <v>1467</v>
      </c>
    </row>
    <row r="977" spans="1:9" x14ac:dyDescent="0.3">
      <c r="C977" t="s">
        <v>683</v>
      </c>
      <c r="E977" t="s">
        <v>1713</v>
      </c>
      <c r="G977" t="s">
        <v>1582</v>
      </c>
    </row>
    <row r="978" spans="1:9" x14ac:dyDescent="0.3">
      <c r="C978" t="s">
        <v>684</v>
      </c>
      <c r="E978" t="s">
        <v>89</v>
      </c>
      <c r="G978" t="s">
        <v>1583</v>
      </c>
      <c r="I978" t="s">
        <v>3178</v>
      </c>
    </row>
    <row r="979" spans="1:9" x14ac:dyDescent="0.3">
      <c r="A979" t="s">
        <v>1000</v>
      </c>
      <c r="C979" t="s">
        <v>687</v>
      </c>
      <c r="E979" t="s">
        <v>1714</v>
      </c>
      <c r="G979" t="s">
        <v>1584</v>
      </c>
    </row>
    <row r="980" spans="1:9" x14ac:dyDescent="0.3">
      <c r="A980" t="s">
        <v>1503</v>
      </c>
      <c r="C980" t="s">
        <v>688</v>
      </c>
      <c r="E980" t="s">
        <v>1715</v>
      </c>
      <c r="G980" t="s">
        <v>1585</v>
      </c>
      <c r="I980" t="s">
        <v>718</v>
      </c>
    </row>
    <row r="981" spans="1:9" x14ac:dyDescent="0.3">
      <c r="C981" t="s">
        <v>689</v>
      </c>
      <c r="E981" t="s">
        <v>3522</v>
      </c>
      <c r="G981" t="s">
        <v>1586</v>
      </c>
      <c r="I981" t="s">
        <v>719</v>
      </c>
    </row>
    <row r="982" spans="1:9" x14ac:dyDescent="0.3">
      <c r="A982" t="s">
        <v>774</v>
      </c>
      <c r="C982" t="s">
        <v>690</v>
      </c>
      <c r="E982" t="s">
        <v>3523</v>
      </c>
      <c r="G982" t="s">
        <v>89</v>
      </c>
      <c r="I982" t="s">
        <v>720</v>
      </c>
    </row>
    <row r="983" spans="1:9" x14ac:dyDescent="0.3">
      <c r="A983" t="s">
        <v>775</v>
      </c>
      <c r="C983" t="s">
        <v>691</v>
      </c>
      <c r="E983" t="s">
        <v>3524</v>
      </c>
      <c r="G983" t="s">
        <v>1587</v>
      </c>
      <c r="I983" t="s">
        <v>721</v>
      </c>
    </row>
    <row r="984" spans="1:9" x14ac:dyDescent="0.3">
      <c r="A984" t="s">
        <v>776</v>
      </c>
      <c r="C984" t="s">
        <v>692</v>
      </c>
      <c r="G984" t="s">
        <v>1588</v>
      </c>
      <c r="I984" t="s">
        <v>722</v>
      </c>
    </row>
    <row r="985" spans="1:9" x14ac:dyDescent="0.3">
      <c r="A985" t="s">
        <v>777</v>
      </c>
      <c r="C985" t="s">
        <v>693</v>
      </c>
      <c r="G985" t="s">
        <v>1589</v>
      </c>
      <c r="I985" t="s">
        <v>89</v>
      </c>
    </row>
    <row r="986" spans="1:9" x14ac:dyDescent="0.3">
      <c r="A986" t="s">
        <v>778</v>
      </c>
      <c r="C986" t="s">
        <v>694</v>
      </c>
      <c r="E986" t="s">
        <v>933</v>
      </c>
      <c r="G986" t="s">
        <v>1590</v>
      </c>
      <c r="I986" t="s">
        <v>723</v>
      </c>
    </row>
    <row r="987" spans="1:9" x14ac:dyDescent="0.3">
      <c r="A987" t="s">
        <v>781</v>
      </c>
      <c r="C987" t="s">
        <v>695</v>
      </c>
      <c r="E987" t="s">
        <v>1554</v>
      </c>
      <c r="G987" t="s">
        <v>1591</v>
      </c>
      <c r="I987" t="s">
        <v>724</v>
      </c>
    </row>
    <row r="988" spans="1:9" x14ac:dyDescent="0.3">
      <c r="A988" t="s">
        <v>782</v>
      </c>
      <c r="C988" t="s">
        <v>89</v>
      </c>
      <c r="G988" t="s">
        <v>1594</v>
      </c>
      <c r="I988" t="s">
        <v>89</v>
      </c>
    </row>
    <row r="989" spans="1:9" x14ac:dyDescent="0.3">
      <c r="A989" t="s">
        <v>783</v>
      </c>
      <c r="C989" t="s">
        <v>696</v>
      </c>
      <c r="E989" t="s">
        <v>3180</v>
      </c>
      <c r="G989" t="e">
        <f>- la consulenza alle imprese e alle persone in tue le forme e i seori.</f>
        <v>#NAME?</v>
      </c>
      <c r="I989" t="s">
        <v>727</v>
      </c>
    </row>
    <row r="990" spans="1:9" x14ac:dyDescent="0.3">
      <c r="A990" t="s">
        <v>784</v>
      </c>
      <c r="C990" t="s">
        <v>697</v>
      </c>
      <c r="G990" t="s">
        <v>1595</v>
      </c>
      <c r="I990" t="s">
        <v>728</v>
      </c>
    </row>
    <row r="991" spans="1:9" x14ac:dyDescent="0.3">
      <c r="A991" t="s">
        <v>785</v>
      </c>
      <c r="C991" t="s">
        <v>698</v>
      </c>
      <c r="E991" t="s">
        <v>3525</v>
      </c>
      <c r="G991" t="s">
        <v>1596</v>
      </c>
      <c r="I991" t="s">
        <v>729</v>
      </c>
    </row>
    <row r="992" spans="1:9" x14ac:dyDescent="0.3">
      <c r="A992" t="s">
        <v>786</v>
      </c>
      <c r="C992" t="s">
        <v>699</v>
      </c>
      <c r="E992" t="s">
        <v>3526</v>
      </c>
      <c r="G992" t="s">
        <v>1597</v>
      </c>
      <c r="I992" t="s">
        <v>730</v>
      </c>
    </row>
    <row r="993" spans="1:9" x14ac:dyDescent="0.3">
      <c r="A993" t="s">
        <v>787</v>
      </c>
      <c r="C993" t="s">
        <v>700</v>
      </c>
      <c r="E993" t="s">
        <v>1723</v>
      </c>
      <c r="G993" t="s">
        <v>1598</v>
      </c>
      <c r="I993" t="s">
        <v>731</v>
      </c>
    </row>
    <row r="994" spans="1:9" x14ac:dyDescent="0.3">
      <c r="A994" t="s">
        <v>788</v>
      </c>
      <c r="C994" t="s">
        <v>701</v>
      </c>
      <c r="E994" t="s">
        <v>1724</v>
      </c>
      <c r="I994" t="s">
        <v>732</v>
      </c>
    </row>
    <row r="995" spans="1:9" x14ac:dyDescent="0.3">
      <c r="A995" t="s">
        <v>789</v>
      </c>
      <c r="C995" t="s">
        <v>702</v>
      </c>
      <c r="E995" t="s">
        <v>3527</v>
      </c>
    </row>
    <row r="996" spans="1:9" x14ac:dyDescent="0.3">
      <c r="A996" t="s">
        <v>790</v>
      </c>
      <c r="C996" t="s">
        <v>703</v>
      </c>
      <c r="E996" t="s">
        <v>1727</v>
      </c>
      <c r="G996" t="s">
        <v>564</v>
      </c>
    </row>
    <row r="997" spans="1:9" x14ac:dyDescent="0.3">
      <c r="A997" t="s">
        <v>791</v>
      </c>
      <c r="C997" t="s">
        <v>704</v>
      </c>
      <c r="E997" t="s">
        <v>3528</v>
      </c>
      <c r="G997" t="s">
        <v>1554</v>
      </c>
      <c r="I997" t="s">
        <v>909</v>
      </c>
    </row>
    <row r="998" spans="1:9" x14ac:dyDescent="0.3">
      <c r="A998" t="s">
        <v>792</v>
      </c>
      <c r="C998" t="s">
        <v>705</v>
      </c>
      <c r="E998" t="s">
        <v>1730</v>
      </c>
      <c r="I998" t="s">
        <v>1503</v>
      </c>
    </row>
    <row r="999" spans="1:9" x14ac:dyDescent="0.3">
      <c r="A999" t="s">
        <v>89</v>
      </c>
      <c r="C999" t="s">
        <v>706</v>
      </c>
      <c r="E999" t="s">
        <v>1731</v>
      </c>
      <c r="G999" t="s">
        <v>3162</v>
      </c>
    </row>
    <row r="1000" spans="1:9" x14ac:dyDescent="0.3">
      <c r="A1000" t="s">
        <v>793</v>
      </c>
      <c r="E1000" t="s">
        <v>3529</v>
      </c>
      <c r="I1000" t="s">
        <v>3179</v>
      </c>
    </row>
    <row r="1001" spans="1:9" x14ac:dyDescent="0.3">
      <c r="A1001" t="s">
        <v>794</v>
      </c>
      <c r="E1001" t="s">
        <v>3530</v>
      </c>
      <c r="G1001" t="s">
        <v>1596</v>
      </c>
    </row>
    <row r="1002" spans="1:9" x14ac:dyDescent="0.3">
      <c r="A1002" t="s">
        <v>795</v>
      </c>
      <c r="C1002" t="s">
        <v>707</v>
      </c>
      <c r="E1002" t="s">
        <v>1737</v>
      </c>
      <c r="G1002" t="s">
        <v>1597</v>
      </c>
      <c r="I1002" t="s">
        <v>738</v>
      </c>
    </row>
    <row r="1003" spans="1:9" x14ac:dyDescent="0.3">
      <c r="A1003" t="s">
        <v>796</v>
      </c>
      <c r="C1003" t="s">
        <v>1467</v>
      </c>
      <c r="E1003" t="s">
        <v>3531</v>
      </c>
      <c r="G1003" t="s">
        <v>1598</v>
      </c>
      <c r="I1003" t="s">
        <v>739</v>
      </c>
    </row>
    <row r="1004" spans="1:9" x14ac:dyDescent="0.3">
      <c r="A1004" t="s">
        <v>797</v>
      </c>
      <c r="G1004" t="s">
        <v>1599</v>
      </c>
      <c r="I1004" t="s">
        <v>740</v>
      </c>
    </row>
    <row r="1005" spans="1:9" x14ac:dyDescent="0.3">
      <c r="A1005" t="s">
        <v>798</v>
      </c>
      <c r="C1005" t="s">
        <v>3169</v>
      </c>
      <c r="G1005" t="s">
        <v>1600</v>
      </c>
      <c r="I1005" t="s">
        <v>741</v>
      </c>
    </row>
    <row r="1006" spans="1:9" x14ac:dyDescent="0.3">
      <c r="A1006" t="s">
        <v>799</v>
      </c>
      <c r="E1006" t="s">
        <v>958</v>
      </c>
      <c r="G1006" t="s">
        <v>1601</v>
      </c>
      <c r="I1006" t="s">
        <v>1504</v>
      </c>
    </row>
    <row r="1007" spans="1:9" x14ac:dyDescent="0.3">
      <c r="A1007" t="s">
        <v>800</v>
      </c>
      <c r="C1007" t="s">
        <v>700</v>
      </c>
      <c r="E1007" t="s">
        <v>1554</v>
      </c>
      <c r="G1007" t="s">
        <v>1602</v>
      </c>
    </row>
    <row r="1008" spans="1:9" x14ac:dyDescent="0.3">
      <c r="A1008" t="s">
        <v>801</v>
      </c>
      <c r="C1008" t="s">
        <v>701</v>
      </c>
      <c r="G1008" t="s">
        <v>1603</v>
      </c>
    </row>
    <row r="1009" spans="1:9" x14ac:dyDescent="0.3">
      <c r="A1009" t="s">
        <v>802</v>
      </c>
      <c r="C1009" t="s">
        <v>702</v>
      </c>
      <c r="E1009" t="s">
        <v>3181</v>
      </c>
      <c r="G1009" t="s">
        <v>1604</v>
      </c>
      <c r="I1009" t="s">
        <v>933</v>
      </c>
    </row>
    <row r="1010" spans="1:9" x14ac:dyDescent="0.3">
      <c r="C1010" t="s">
        <v>703</v>
      </c>
      <c r="G1010" t="s">
        <v>3413</v>
      </c>
      <c r="I1010" t="s">
        <v>1503</v>
      </c>
    </row>
    <row r="1011" spans="1:9" x14ac:dyDescent="0.3">
      <c r="C1011" t="s">
        <v>704</v>
      </c>
      <c r="E1011" t="s">
        <v>1739</v>
      </c>
      <c r="G1011" t="s">
        <v>1607</v>
      </c>
    </row>
    <row r="1012" spans="1:9" x14ac:dyDescent="0.3">
      <c r="A1012" t="s">
        <v>1022</v>
      </c>
      <c r="C1012" t="s">
        <v>705</v>
      </c>
      <c r="E1012" t="s">
        <v>1740</v>
      </c>
      <c r="G1012" t="s">
        <v>1608</v>
      </c>
      <c r="I1012" t="s">
        <v>3180</v>
      </c>
    </row>
    <row r="1013" spans="1:9" x14ac:dyDescent="0.3">
      <c r="A1013" t="s">
        <v>1503</v>
      </c>
      <c r="C1013" t="s">
        <v>708</v>
      </c>
      <c r="E1013" t="s">
        <v>1741</v>
      </c>
      <c r="G1013" t="s">
        <v>3414</v>
      </c>
    </row>
    <row r="1014" spans="1:9" x14ac:dyDescent="0.3">
      <c r="C1014" t="s">
        <v>709</v>
      </c>
      <c r="E1014" t="s">
        <v>1742</v>
      </c>
      <c r="G1014" t="s">
        <v>1611</v>
      </c>
      <c r="I1014" t="s">
        <v>743</v>
      </c>
    </row>
    <row r="1015" spans="1:9" x14ac:dyDescent="0.3">
      <c r="A1015" t="s">
        <v>797</v>
      </c>
      <c r="C1015" t="s">
        <v>710</v>
      </c>
      <c r="E1015" t="s">
        <v>1743</v>
      </c>
      <c r="G1015" t="s">
        <v>1612</v>
      </c>
      <c r="I1015" t="s">
        <v>744</v>
      </c>
    </row>
    <row r="1016" spans="1:9" x14ac:dyDescent="0.3">
      <c r="A1016" t="s">
        <v>798</v>
      </c>
      <c r="C1016" t="s">
        <v>711</v>
      </c>
      <c r="E1016" t="s">
        <v>1744</v>
      </c>
      <c r="G1016" t="s">
        <v>1613</v>
      </c>
      <c r="I1016" t="s">
        <v>745</v>
      </c>
    </row>
    <row r="1017" spans="1:9" x14ac:dyDescent="0.3">
      <c r="A1017" t="s">
        <v>799</v>
      </c>
      <c r="C1017" t="s">
        <v>712</v>
      </c>
      <c r="E1017" t="s">
        <v>1745</v>
      </c>
      <c r="G1017" t="s">
        <v>3415</v>
      </c>
      <c r="I1017" t="s">
        <v>746</v>
      </c>
    </row>
    <row r="1018" spans="1:9" x14ac:dyDescent="0.3">
      <c r="A1018" t="s">
        <v>800</v>
      </c>
      <c r="C1018" t="s">
        <v>713</v>
      </c>
      <c r="E1018" t="s">
        <v>1746</v>
      </c>
      <c r="G1018" t="s">
        <v>1616</v>
      </c>
      <c r="I1018" t="s">
        <v>747</v>
      </c>
    </row>
    <row r="1019" spans="1:9" x14ac:dyDescent="0.3">
      <c r="A1019" t="s">
        <v>801</v>
      </c>
      <c r="C1019" t="s">
        <v>714</v>
      </c>
      <c r="E1019" t="s">
        <v>616</v>
      </c>
      <c r="G1019" t="s">
        <v>1617</v>
      </c>
      <c r="I1019" t="s">
        <v>748</v>
      </c>
    </row>
    <row r="1020" spans="1:9" x14ac:dyDescent="0.3">
      <c r="A1020" t="s">
        <v>804</v>
      </c>
      <c r="C1020" t="s">
        <v>715</v>
      </c>
      <c r="E1020" t="s">
        <v>1747</v>
      </c>
      <c r="G1020" t="s">
        <v>1618</v>
      </c>
      <c r="I1020" t="s">
        <v>1505</v>
      </c>
    </row>
    <row r="1021" spans="1:9" x14ac:dyDescent="0.3">
      <c r="A1021" t="s">
        <v>805</v>
      </c>
      <c r="C1021" t="s">
        <v>716</v>
      </c>
      <c r="E1021" t="s">
        <v>3532</v>
      </c>
      <c r="G1021" t="s">
        <v>1619</v>
      </c>
    </row>
    <row r="1022" spans="1:9" x14ac:dyDescent="0.3">
      <c r="A1022" t="s">
        <v>806</v>
      </c>
      <c r="C1022" t="s">
        <v>717</v>
      </c>
      <c r="E1022" t="s">
        <v>1750</v>
      </c>
      <c r="G1022" t="s">
        <v>1620</v>
      </c>
    </row>
    <row r="1023" spans="1:9" x14ac:dyDescent="0.3">
      <c r="A1023" t="s">
        <v>807</v>
      </c>
      <c r="C1023" t="s">
        <v>718</v>
      </c>
      <c r="E1023" t="s">
        <v>3533</v>
      </c>
      <c r="G1023" t="s">
        <v>1621</v>
      </c>
      <c r="I1023" t="s">
        <v>958</v>
      </c>
    </row>
    <row r="1024" spans="1:9" x14ac:dyDescent="0.3">
      <c r="A1024" t="s">
        <v>808</v>
      </c>
      <c r="C1024" t="s">
        <v>719</v>
      </c>
      <c r="E1024" t="s">
        <v>1753</v>
      </c>
      <c r="G1024" t="s">
        <v>1622</v>
      </c>
      <c r="I1024" t="s">
        <v>1503</v>
      </c>
    </row>
    <row r="1025" spans="1:9" x14ac:dyDescent="0.3">
      <c r="A1025" t="s">
        <v>809</v>
      </c>
      <c r="C1025" t="s">
        <v>720</v>
      </c>
      <c r="E1025" t="s">
        <v>3534</v>
      </c>
      <c r="G1025" t="s">
        <v>1623</v>
      </c>
    </row>
    <row r="1026" spans="1:9" x14ac:dyDescent="0.3">
      <c r="A1026" t="s">
        <v>810</v>
      </c>
      <c r="C1026" t="s">
        <v>721</v>
      </c>
      <c r="G1026" t="s">
        <v>1624</v>
      </c>
      <c r="I1026" t="s">
        <v>3181</v>
      </c>
    </row>
    <row r="1027" spans="1:9" x14ac:dyDescent="0.3">
      <c r="A1027" t="s">
        <v>811</v>
      </c>
      <c r="C1027" t="s">
        <v>722</v>
      </c>
    </row>
    <row r="1028" spans="1:9" x14ac:dyDescent="0.3">
      <c r="A1028" t="s">
        <v>812</v>
      </c>
      <c r="C1028" t="s">
        <v>89</v>
      </c>
      <c r="E1028" t="s">
        <v>979</v>
      </c>
      <c r="I1028" t="s">
        <v>750</v>
      </c>
    </row>
    <row r="1029" spans="1:9" x14ac:dyDescent="0.3">
      <c r="A1029" t="s">
        <v>813</v>
      </c>
      <c r="C1029" t="s">
        <v>723</v>
      </c>
      <c r="E1029" t="s">
        <v>1554</v>
      </c>
      <c r="G1029" t="s">
        <v>584</v>
      </c>
      <c r="I1029" t="s">
        <v>751</v>
      </c>
    </row>
    <row r="1030" spans="1:9" x14ac:dyDescent="0.3">
      <c r="A1030" t="s">
        <v>814</v>
      </c>
      <c r="C1030" t="s">
        <v>724</v>
      </c>
      <c r="G1030" t="s">
        <v>1554</v>
      </c>
      <c r="I1030" t="s">
        <v>752</v>
      </c>
    </row>
    <row r="1031" spans="1:9" x14ac:dyDescent="0.3">
      <c r="A1031" t="s">
        <v>815</v>
      </c>
      <c r="C1031" t="s">
        <v>725</v>
      </c>
      <c r="E1031" t="s">
        <v>3182</v>
      </c>
      <c r="I1031" t="s">
        <v>753</v>
      </c>
    </row>
    <row r="1032" spans="1:9" x14ac:dyDescent="0.3">
      <c r="A1032" t="s">
        <v>816</v>
      </c>
      <c r="G1032" t="s">
        <v>3163</v>
      </c>
      <c r="I1032" t="s">
        <v>754</v>
      </c>
    </row>
    <row r="1033" spans="1:9" x14ac:dyDescent="0.3">
      <c r="A1033" t="s">
        <v>817</v>
      </c>
      <c r="E1033" t="s">
        <v>1756</v>
      </c>
      <c r="I1033" t="s">
        <v>1506</v>
      </c>
    </row>
    <row r="1034" spans="1:9" x14ac:dyDescent="0.3">
      <c r="A1034" t="s">
        <v>818</v>
      </c>
      <c r="C1034" t="s">
        <v>726</v>
      </c>
      <c r="E1034" t="s">
        <v>1757</v>
      </c>
      <c r="G1034" t="s">
        <v>1619</v>
      </c>
    </row>
    <row r="1035" spans="1:9" x14ac:dyDescent="0.3">
      <c r="A1035" t="s">
        <v>1507</v>
      </c>
      <c r="C1035" t="s">
        <v>1467</v>
      </c>
      <c r="E1035" t="s">
        <v>1758</v>
      </c>
      <c r="G1035" t="s">
        <v>1620</v>
      </c>
    </row>
    <row r="1036" spans="1:9" x14ac:dyDescent="0.3">
      <c r="E1036" t="s">
        <v>1759</v>
      </c>
      <c r="G1036" t="s">
        <v>1621</v>
      </c>
      <c r="I1036" t="s">
        <v>979</v>
      </c>
    </row>
    <row r="1037" spans="1:9" x14ac:dyDescent="0.3">
      <c r="C1037" t="s">
        <v>3170</v>
      </c>
      <c r="E1037" t="s">
        <v>3535</v>
      </c>
      <c r="G1037" t="s">
        <v>1622</v>
      </c>
      <c r="I1037" t="s">
        <v>1503</v>
      </c>
    </row>
    <row r="1038" spans="1:9" x14ac:dyDescent="0.3">
      <c r="A1038" t="s">
        <v>1046</v>
      </c>
      <c r="E1038" t="s">
        <v>3536</v>
      </c>
      <c r="G1038" t="s">
        <v>1623</v>
      </c>
    </row>
    <row r="1039" spans="1:9" x14ac:dyDescent="0.3">
      <c r="A1039" t="s">
        <v>1503</v>
      </c>
      <c r="C1039" t="s">
        <v>721</v>
      </c>
      <c r="E1039" t="s">
        <v>1764</v>
      </c>
      <c r="G1039" t="s">
        <v>1624</v>
      </c>
      <c r="I1039" t="s">
        <v>3182</v>
      </c>
    </row>
    <row r="1040" spans="1:9" x14ac:dyDescent="0.3">
      <c r="C1040" t="s">
        <v>722</v>
      </c>
      <c r="E1040" t="s">
        <v>3537</v>
      </c>
      <c r="G1040" t="s">
        <v>1625</v>
      </c>
    </row>
    <row r="1041" spans="1:9" x14ac:dyDescent="0.3">
      <c r="A1041" t="s">
        <v>820</v>
      </c>
      <c r="C1041" t="s">
        <v>89</v>
      </c>
      <c r="E1041" t="s">
        <v>1769</v>
      </c>
      <c r="G1041" t="s">
        <v>89</v>
      </c>
      <c r="I1041" t="s">
        <v>756</v>
      </c>
    </row>
    <row r="1042" spans="1:9" x14ac:dyDescent="0.3">
      <c r="A1042" t="s">
        <v>821</v>
      </c>
      <c r="C1042" t="s">
        <v>723</v>
      </c>
      <c r="E1042" t="s">
        <v>1770</v>
      </c>
      <c r="G1042" t="s">
        <v>1626</v>
      </c>
      <c r="I1042" t="s">
        <v>757</v>
      </c>
    </row>
    <row r="1043" spans="1:9" x14ac:dyDescent="0.3">
      <c r="A1043" t="s">
        <v>824</v>
      </c>
      <c r="C1043" t="s">
        <v>724</v>
      </c>
      <c r="E1043" t="s">
        <v>1771</v>
      </c>
      <c r="G1043" t="s">
        <v>1627</v>
      </c>
      <c r="I1043" t="s">
        <v>758</v>
      </c>
    </row>
    <row r="1044" spans="1:9" x14ac:dyDescent="0.3">
      <c r="A1044" t="s">
        <v>825</v>
      </c>
      <c r="C1044" t="s">
        <v>89</v>
      </c>
      <c r="E1044" t="s">
        <v>1772</v>
      </c>
      <c r="G1044" t="s">
        <v>1628</v>
      </c>
      <c r="I1044" t="s">
        <v>759</v>
      </c>
    </row>
    <row r="1045" spans="1:9" x14ac:dyDescent="0.3">
      <c r="A1045" t="s">
        <v>826</v>
      </c>
      <c r="C1045" t="s">
        <v>727</v>
      </c>
      <c r="E1045" t="s">
        <v>1773</v>
      </c>
      <c r="G1045" t="s">
        <v>1629</v>
      </c>
      <c r="I1045" t="s">
        <v>762</v>
      </c>
    </row>
    <row r="1046" spans="1:9" x14ac:dyDescent="0.3">
      <c r="A1046" t="s">
        <v>827</v>
      </c>
      <c r="C1046" t="s">
        <v>728</v>
      </c>
      <c r="E1046" t="s">
        <v>1774</v>
      </c>
      <c r="G1046" t="s">
        <v>1630</v>
      </c>
      <c r="I1046" t="s">
        <v>763</v>
      </c>
    </row>
    <row r="1047" spans="1:9" x14ac:dyDescent="0.3">
      <c r="A1047" t="s">
        <v>828</v>
      </c>
      <c r="C1047" t="s">
        <v>729</v>
      </c>
      <c r="E1047" t="s">
        <v>1775</v>
      </c>
      <c r="G1047" t="s">
        <v>1631</v>
      </c>
      <c r="I1047" t="s">
        <v>764</v>
      </c>
    </row>
    <row r="1048" spans="1:9" x14ac:dyDescent="0.3">
      <c r="A1048" t="s">
        <v>829</v>
      </c>
      <c r="C1048" t="s">
        <v>730</v>
      </c>
      <c r="E1048" t="s">
        <v>3538</v>
      </c>
      <c r="G1048" t="s">
        <v>1632</v>
      </c>
      <c r="I1048" t="s">
        <v>765</v>
      </c>
    </row>
    <row r="1049" spans="1:9" x14ac:dyDescent="0.3">
      <c r="A1049" t="s">
        <v>830</v>
      </c>
      <c r="C1049" t="s">
        <v>731</v>
      </c>
      <c r="E1049" t="s">
        <v>1778</v>
      </c>
      <c r="G1049" t="s">
        <v>1633</v>
      </c>
      <c r="I1049" t="s">
        <v>766</v>
      </c>
    </row>
    <row r="1050" spans="1:9" x14ac:dyDescent="0.3">
      <c r="A1050" t="s">
        <v>831</v>
      </c>
      <c r="C1050" t="s">
        <v>732</v>
      </c>
      <c r="E1050" t="s">
        <v>3539</v>
      </c>
      <c r="G1050" t="s">
        <v>1634</v>
      </c>
      <c r="I1050" t="s">
        <v>767</v>
      </c>
    </row>
    <row r="1051" spans="1:9" x14ac:dyDescent="0.3">
      <c r="A1051" t="s">
        <v>832</v>
      </c>
      <c r="G1051" t="s">
        <v>1635</v>
      </c>
      <c r="I1051" t="s">
        <v>768</v>
      </c>
    </row>
    <row r="1052" spans="1:9" x14ac:dyDescent="0.3">
      <c r="A1052" t="s">
        <v>833</v>
      </c>
      <c r="G1052" t="s">
        <v>3416</v>
      </c>
      <c r="I1052" t="s">
        <v>769</v>
      </c>
    </row>
    <row r="1053" spans="1:9" x14ac:dyDescent="0.3">
      <c r="A1053" t="s">
        <v>834</v>
      </c>
      <c r="C1053" t="s">
        <v>733</v>
      </c>
      <c r="E1053" t="s">
        <v>1000</v>
      </c>
      <c r="G1053" t="s">
        <v>1638</v>
      </c>
      <c r="I1053" t="s">
        <v>770</v>
      </c>
    </row>
    <row r="1054" spans="1:9" x14ac:dyDescent="0.3">
      <c r="A1054" t="s">
        <v>835</v>
      </c>
      <c r="C1054" t="s">
        <v>1503</v>
      </c>
      <c r="E1054" t="s">
        <v>1554</v>
      </c>
      <c r="G1054" t="s">
        <v>1639</v>
      </c>
      <c r="I1054" t="s">
        <v>771</v>
      </c>
    </row>
    <row r="1055" spans="1:9" x14ac:dyDescent="0.3">
      <c r="A1055" t="s">
        <v>836</v>
      </c>
      <c r="G1055" t="s">
        <v>1640</v>
      </c>
      <c r="I1055" t="s">
        <v>772</v>
      </c>
    </row>
    <row r="1056" spans="1:9" x14ac:dyDescent="0.3">
      <c r="A1056" t="s">
        <v>837</v>
      </c>
      <c r="C1056" t="s">
        <v>3171</v>
      </c>
      <c r="E1056" t="s">
        <v>3183</v>
      </c>
      <c r="G1056" t="s">
        <v>1641</v>
      </c>
      <c r="I1056" t="s">
        <v>773</v>
      </c>
    </row>
    <row r="1057" spans="1:9" x14ac:dyDescent="0.3">
      <c r="A1057" t="s">
        <v>838</v>
      </c>
      <c r="G1057" t="s">
        <v>1642</v>
      </c>
      <c r="I1057" t="s">
        <v>774</v>
      </c>
    </row>
    <row r="1058" spans="1:9" x14ac:dyDescent="0.3">
      <c r="A1058" t="s">
        <v>839</v>
      </c>
      <c r="C1058" t="s">
        <v>3408</v>
      </c>
      <c r="E1058" t="s">
        <v>1780</v>
      </c>
      <c r="G1058" t="s">
        <v>1643</v>
      </c>
      <c r="I1058" t="s">
        <v>775</v>
      </c>
    </row>
    <row r="1059" spans="1:9" x14ac:dyDescent="0.3">
      <c r="A1059" t="s">
        <v>840</v>
      </c>
      <c r="C1059" t="s">
        <v>735</v>
      </c>
      <c r="E1059" t="s">
        <v>1781</v>
      </c>
      <c r="G1059" t="s">
        <v>3958</v>
      </c>
      <c r="I1059" t="s">
        <v>776</v>
      </c>
    </row>
    <row r="1060" spans="1:9" x14ac:dyDescent="0.3">
      <c r="A1060" t="s">
        <v>841</v>
      </c>
      <c r="C1060" t="s">
        <v>736</v>
      </c>
      <c r="E1060" t="s">
        <v>1782</v>
      </c>
      <c r="I1060" t="s">
        <v>777</v>
      </c>
    </row>
    <row r="1061" spans="1:9" x14ac:dyDescent="0.3">
      <c r="A1061" t="s">
        <v>842</v>
      </c>
      <c r="C1061" t="s">
        <v>737</v>
      </c>
      <c r="E1061" t="s">
        <v>3540</v>
      </c>
      <c r="I1061" t="s">
        <v>778</v>
      </c>
    </row>
    <row r="1062" spans="1:9" x14ac:dyDescent="0.3">
      <c r="A1062" t="s">
        <v>843</v>
      </c>
      <c r="C1062" t="s">
        <v>738</v>
      </c>
      <c r="E1062" t="s">
        <v>3541</v>
      </c>
      <c r="G1062" t="s">
        <v>603</v>
      </c>
      <c r="I1062" t="s">
        <v>779</v>
      </c>
    </row>
    <row r="1063" spans="1:9" x14ac:dyDescent="0.3">
      <c r="A1063" t="s">
        <v>846</v>
      </c>
      <c r="C1063" t="s">
        <v>739</v>
      </c>
      <c r="E1063" t="s">
        <v>1786</v>
      </c>
      <c r="G1063" t="s">
        <v>1554</v>
      </c>
    </row>
    <row r="1064" spans="1:9" x14ac:dyDescent="0.3">
      <c r="A1064" t="s">
        <v>847</v>
      </c>
      <c r="C1064" t="s">
        <v>740</v>
      </c>
      <c r="E1064" t="s">
        <v>1787</v>
      </c>
    </row>
    <row r="1065" spans="1:9" x14ac:dyDescent="0.3">
      <c r="A1065" t="s">
        <v>848</v>
      </c>
      <c r="C1065" t="s">
        <v>741</v>
      </c>
      <c r="E1065" t="s">
        <v>1788</v>
      </c>
      <c r="G1065" t="s">
        <v>3164</v>
      </c>
      <c r="I1065" t="s">
        <v>1000</v>
      </c>
    </row>
    <row r="1066" spans="1:9" x14ac:dyDescent="0.3">
      <c r="A1066" t="s">
        <v>1508</v>
      </c>
      <c r="C1066" t="s">
        <v>742</v>
      </c>
      <c r="E1066" t="s">
        <v>1789</v>
      </c>
      <c r="I1066" t="s">
        <v>1503</v>
      </c>
    </row>
    <row r="1067" spans="1:9" x14ac:dyDescent="0.3">
      <c r="C1067" t="s">
        <v>743</v>
      </c>
      <c r="E1067" t="s">
        <v>89</v>
      </c>
      <c r="G1067" t="s">
        <v>1639</v>
      </c>
    </row>
    <row r="1068" spans="1:9" x14ac:dyDescent="0.3">
      <c r="C1068" t="s">
        <v>744</v>
      </c>
      <c r="E1068" t="s">
        <v>1791</v>
      </c>
      <c r="G1068" t="s">
        <v>1640</v>
      </c>
      <c r="I1068" t="s">
        <v>3183</v>
      </c>
    </row>
    <row r="1069" spans="1:9" x14ac:dyDescent="0.3">
      <c r="A1069" t="s">
        <v>1069</v>
      </c>
      <c r="C1069" t="s">
        <v>745</v>
      </c>
      <c r="E1069" t="s">
        <v>3542</v>
      </c>
      <c r="G1069" t="s">
        <v>1641</v>
      </c>
    </row>
    <row r="1070" spans="1:9" x14ac:dyDescent="0.3">
      <c r="A1070" t="s">
        <v>1503</v>
      </c>
      <c r="C1070" t="s">
        <v>746</v>
      </c>
      <c r="E1070" t="s">
        <v>3543</v>
      </c>
      <c r="G1070" t="s">
        <v>1642</v>
      </c>
      <c r="I1070" t="s">
        <v>774</v>
      </c>
    </row>
    <row r="1071" spans="1:9" x14ac:dyDescent="0.3">
      <c r="C1071" t="s">
        <v>747</v>
      </c>
      <c r="G1071" t="s">
        <v>1643</v>
      </c>
      <c r="I1071" t="s">
        <v>775</v>
      </c>
    </row>
    <row r="1072" spans="1:9" x14ac:dyDescent="0.3">
      <c r="A1072" t="s">
        <v>843</v>
      </c>
      <c r="C1072" t="s">
        <v>748</v>
      </c>
      <c r="G1072" t="s">
        <v>1644</v>
      </c>
      <c r="I1072" t="s">
        <v>776</v>
      </c>
    </row>
    <row r="1073" spans="1:9" x14ac:dyDescent="0.3">
      <c r="A1073" t="s">
        <v>846</v>
      </c>
      <c r="C1073" t="s">
        <v>749</v>
      </c>
      <c r="E1073" t="s">
        <v>1022</v>
      </c>
      <c r="G1073" t="s">
        <v>1645</v>
      </c>
      <c r="I1073" t="s">
        <v>777</v>
      </c>
    </row>
    <row r="1074" spans="1:9" x14ac:dyDescent="0.3">
      <c r="A1074" t="s">
        <v>847</v>
      </c>
      <c r="C1074" t="s">
        <v>750</v>
      </c>
      <c r="E1074" t="s">
        <v>1554</v>
      </c>
      <c r="G1074" t="s">
        <v>1646</v>
      </c>
      <c r="I1074" t="s">
        <v>778</v>
      </c>
    </row>
    <row r="1075" spans="1:9" x14ac:dyDescent="0.3">
      <c r="A1075" t="s">
        <v>848</v>
      </c>
      <c r="C1075" t="s">
        <v>751</v>
      </c>
      <c r="G1075" t="s">
        <v>1647</v>
      </c>
      <c r="I1075" t="s">
        <v>781</v>
      </c>
    </row>
    <row r="1076" spans="1:9" x14ac:dyDescent="0.3">
      <c r="A1076" t="s">
        <v>849</v>
      </c>
      <c r="C1076" t="s">
        <v>752</v>
      </c>
      <c r="E1076" t="s">
        <v>3184</v>
      </c>
      <c r="G1076" t="s">
        <v>1648</v>
      </c>
      <c r="I1076" t="s">
        <v>782</v>
      </c>
    </row>
    <row r="1077" spans="1:9" x14ac:dyDescent="0.3">
      <c r="A1077" t="s">
        <v>850</v>
      </c>
      <c r="C1077" t="s">
        <v>753</v>
      </c>
      <c r="G1077" t="s">
        <v>1649</v>
      </c>
      <c r="I1077" t="s">
        <v>783</v>
      </c>
    </row>
    <row r="1078" spans="1:9" x14ac:dyDescent="0.3">
      <c r="A1078" t="s">
        <v>851</v>
      </c>
      <c r="C1078" t="s">
        <v>754</v>
      </c>
      <c r="E1078" t="s">
        <v>1795</v>
      </c>
      <c r="G1078" t="s">
        <v>1650</v>
      </c>
      <c r="I1078" t="s">
        <v>784</v>
      </c>
    </row>
    <row r="1079" spans="1:9" x14ac:dyDescent="0.3">
      <c r="A1079" t="s">
        <v>852</v>
      </c>
      <c r="C1079" t="s">
        <v>755</v>
      </c>
      <c r="E1079" t="s">
        <v>1796</v>
      </c>
      <c r="G1079" t="s">
        <v>1651</v>
      </c>
      <c r="I1079" t="s">
        <v>785</v>
      </c>
    </row>
    <row r="1080" spans="1:9" x14ac:dyDescent="0.3">
      <c r="A1080" t="s">
        <v>853</v>
      </c>
      <c r="C1080" t="s">
        <v>756</v>
      </c>
      <c r="E1080" t="s">
        <v>1797</v>
      </c>
      <c r="G1080" t="s">
        <v>1652</v>
      </c>
      <c r="I1080" t="s">
        <v>786</v>
      </c>
    </row>
    <row r="1081" spans="1:9" x14ac:dyDescent="0.3">
      <c r="A1081" t="s">
        <v>89</v>
      </c>
      <c r="C1081" t="s">
        <v>757</v>
      </c>
      <c r="E1081" t="s">
        <v>1798</v>
      </c>
      <c r="G1081" t="s">
        <v>1653</v>
      </c>
      <c r="I1081" t="s">
        <v>787</v>
      </c>
    </row>
    <row r="1082" spans="1:9" x14ac:dyDescent="0.3">
      <c r="A1082" t="s">
        <v>854</v>
      </c>
      <c r="C1082" t="s">
        <v>758</v>
      </c>
      <c r="E1082" t="s">
        <v>3544</v>
      </c>
      <c r="G1082" t="s">
        <v>1654</v>
      </c>
      <c r="I1082" t="s">
        <v>788</v>
      </c>
    </row>
    <row r="1083" spans="1:9" x14ac:dyDescent="0.3">
      <c r="A1083" t="s">
        <v>855</v>
      </c>
      <c r="C1083" t="s">
        <v>759</v>
      </c>
      <c r="E1083" t="s">
        <v>3545</v>
      </c>
      <c r="G1083" t="s">
        <v>1655</v>
      </c>
      <c r="I1083" t="s">
        <v>789</v>
      </c>
    </row>
    <row r="1084" spans="1:9" x14ac:dyDescent="0.3">
      <c r="A1084" t="s">
        <v>856</v>
      </c>
      <c r="C1084" t="s">
        <v>760</v>
      </c>
      <c r="E1084" t="s">
        <v>1803</v>
      </c>
      <c r="G1084" t="s">
        <v>1656</v>
      </c>
      <c r="I1084" t="s">
        <v>790</v>
      </c>
    </row>
    <row r="1085" spans="1:9" x14ac:dyDescent="0.3">
      <c r="A1085" t="s">
        <v>857</v>
      </c>
      <c r="E1085" t="s">
        <v>1804</v>
      </c>
      <c r="G1085" t="s">
        <v>1657</v>
      </c>
      <c r="I1085" t="s">
        <v>791</v>
      </c>
    </row>
    <row r="1086" spans="1:9" x14ac:dyDescent="0.3">
      <c r="A1086" t="s">
        <v>858</v>
      </c>
      <c r="E1086" t="s">
        <v>1805</v>
      </c>
      <c r="G1086" t="s">
        <v>1658</v>
      </c>
      <c r="I1086" t="s">
        <v>792</v>
      </c>
    </row>
    <row r="1087" spans="1:9" x14ac:dyDescent="0.3">
      <c r="A1087" t="s">
        <v>859</v>
      </c>
      <c r="C1087" t="s">
        <v>761</v>
      </c>
      <c r="E1087" t="s">
        <v>1806</v>
      </c>
      <c r="G1087" t="s">
        <v>1661</v>
      </c>
      <c r="I1087" t="s">
        <v>89</v>
      </c>
    </row>
    <row r="1088" spans="1:9" x14ac:dyDescent="0.3">
      <c r="A1088" t="s">
        <v>860</v>
      </c>
      <c r="C1088" t="s">
        <v>1503</v>
      </c>
      <c r="E1088" t="s">
        <v>1807</v>
      </c>
      <c r="G1088" t="s">
        <v>1662</v>
      </c>
      <c r="I1088" t="s">
        <v>793</v>
      </c>
    </row>
    <row r="1089" spans="1:9" x14ac:dyDescent="0.3">
      <c r="A1089" t="s">
        <v>861</v>
      </c>
      <c r="E1089" t="s">
        <v>1809</v>
      </c>
      <c r="G1089" t="s">
        <v>1663</v>
      </c>
      <c r="I1089" t="s">
        <v>794</v>
      </c>
    </row>
    <row r="1090" spans="1:9" x14ac:dyDescent="0.3">
      <c r="A1090" t="s">
        <v>862</v>
      </c>
      <c r="C1090" t="s">
        <v>3172</v>
      </c>
      <c r="E1090" t="s">
        <v>1810</v>
      </c>
      <c r="I1090" t="s">
        <v>795</v>
      </c>
    </row>
    <row r="1091" spans="1:9" x14ac:dyDescent="0.3">
      <c r="A1091" t="s">
        <v>863</v>
      </c>
      <c r="E1091" t="s">
        <v>1811</v>
      </c>
      <c r="I1091" t="s">
        <v>796</v>
      </c>
    </row>
    <row r="1092" spans="1:9" x14ac:dyDescent="0.3">
      <c r="A1092" t="s">
        <v>864</v>
      </c>
      <c r="C1092" t="s">
        <v>756</v>
      </c>
      <c r="E1092" t="s">
        <v>1812</v>
      </c>
      <c r="G1092" t="s">
        <v>624</v>
      </c>
      <c r="I1092" t="s">
        <v>797</v>
      </c>
    </row>
    <row r="1093" spans="1:9" x14ac:dyDescent="0.3">
      <c r="A1093" t="s">
        <v>867</v>
      </c>
      <c r="C1093" t="s">
        <v>757</v>
      </c>
      <c r="E1093" t="s">
        <v>1813</v>
      </c>
      <c r="G1093" t="s">
        <v>1554</v>
      </c>
      <c r="I1093" t="s">
        <v>798</v>
      </c>
    </row>
    <row r="1094" spans="1:9" x14ac:dyDescent="0.3">
      <c r="A1094" t="s">
        <v>868</v>
      </c>
      <c r="C1094" t="s">
        <v>758</v>
      </c>
      <c r="E1094" t="s">
        <v>3546</v>
      </c>
      <c r="I1094" t="s">
        <v>799</v>
      </c>
    </row>
    <row r="1095" spans="1:9" x14ac:dyDescent="0.3">
      <c r="A1095" t="s">
        <v>869</v>
      </c>
      <c r="C1095" t="s">
        <v>759</v>
      </c>
      <c r="G1095" t="s">
        <v>3165</v>
      </c>
      <c r="I1095" t="s">
        <v>800</v>
      </c>
    </row>
    <row r="1096" spans="1:9" x14ac:dyDescent="0.3">
      <c r="A1096" t="s">
        <v>1509</v>
      </c>
      <c r="C1096" t="s">
        <v>762</v>
      </c>
      <c r="I1096" t="s">
        <v>801</v>
      </c>
    </row>
    <row r="1097" spans="1:9" x14ac:dyDescent="0.3">
      <c r="C1097" t="s">
        <v>763</v>
      </c>
      <c r="E1097" t="s">
        <v>1046</v>
      </c>
      <c r="G1097" t="s">
        <v>1661</v>
      </c>
      <c r="I1097" t="s">
        <v>802</v>
      </c>
    </row>
    <row r="1098" spans="1:9" x14ac:dyDescent="0.3">
      <c r="C1098" t="s">
        <v>764</v>
      </c>
      <c r="E1098" t="s">
        <v>1554</v>
      </c>
      <c r="G1098" t="s">
        <v>1662</v>
      </c>
    </row>
    <row r="1099" spans="1:9" x14ac:dyDescent="0.3">
      <c r="A1099" t="s">
        <v>1093</v>
      </c>
      <c r="C1099" t="s">
        <v>765</v>
      </c>
      <c r="G1099" t="s">
        <v>1663</v>
      </c>
    </row>
    <row r="1100" spans="1:9" x14ac:dyDescent="0.3">
      <c r="A1100" t="s">
        <v>1503</v>
      </c>
      <c r="C1100" t="s">
        <v>766</v>
      </c>
      <c r="E1100" t="s">
        <v>3185</v>
      </c>
      <c r="G1100" t="s">
        <v>1664</v>
      </c>
      <c r="I1100" t="s">
        <v>1022</v>
      </c>
    </row>
    <row r="1101" spans="1:9" x14ac:dyDescent="0.3">
      <c r="C1101" t="s">
        <v>767</v>
      </c>
      <c r="G1101" t="s">
        <v>1665</v>
      </c>
      <c r="I1101" t="s">
        <v>1503</v>
      </c>
    </row>
    <row r="1102" spans="1:9" x14ac:dyDescent="0.3">
      <c r="A1102" t="s">
        <v>864</v>
      </c>
      <c r="C1102" t="s">
        <v>768</v>
      </c>
      <c r="E1102" t="s">
        <v>1815</v>
      </c>
      <c r="G1102" t="s">
        <v>89</v>
      </c>
    </row>
    <row r="1103" spans="1:9" x14ac:dyDescent="0.3">
      <c r="A1103" t="s">
        <v>867</v>
      </c>
      <c r="C1103" t="s">
        <v>769</v>
      </c>
      <c r="E1103" t="s">
        <v>1816</v>
      </c>
      <c r="G1103" t="s">
        <v>1666</v>
      </c>
      <c r="I1103" t="s">
        <v>3184</v>
      </c>
    </row>
    <row r="1104" spans="1:9" x14ac:dyDescent="0.3">
      <c r="A1104" t="s">
        <v>868</v>
      </c>
      <c r="C1104" t="s">
        <v>770</v>
      </c>
      <c r="E1104" t="s">
        <v>1817</v>
      </c>
      <c r="G1104" t="s">
        <v>1667</v>
      </c>
    </row>
    <row r="1105" spans="1:9" x14ac:dyDescent="0.3">
      <c r="A1105" t="s">
        <v>869</v>
      </c>
      <c r="C1105" t="s">
        <v>771</v>
      </c>
      <c r="E1105" t="s">
        <v>1818</v>
      </c>
      <c r="G1105" t="s">
        <v>1668</v>
      </c>
      <c r="I1105" t="s">
        <v>797</v>
      </c>
    </row>
    <row r="1106" spans="1:9" x14ac:dyDescent="0.3">
      <c r="A1106" t="s">
        <v>870</v>
      </c>
      <c r="C1106" t="s">
        <v>772</v>
      </c>
      <c r="E1106" t="s">
        <v>3547</v>
      </c>
      <c r="G1106" t="s">
        <v>1669</v>
      </c>
      <c r="I1106" t="s">
        <v>798</v>
      </c>
    </row>
    <row r="1107" spans="1:9" x14ac:dyDescent="0.3">
      <c r="A1107" t="s">
        <v>871</v>
      </c>
      <c r="C1107" t="s">
        <v>773</v>
      </c>
      <c r="E1107" t="s">
        <v>1821</v>
      </c>
      <c r="G1107" t="s">
        <v>1670</v>
      </c>
      <c r="I1107" t="s">
        <v>799</v>
      </c>
    </row>
    <row r="1108" spans="1:9" x14ac:dyDescent="0.3">
      <c r="A1108" t="s">
        <v>872</v>
      </c>
      <c r="C1108" t="s">
        <v>774</v>
      </c>
      <c r="E1108" t="s">
        <v>1822</v>
      </c>
      <c r="G1108" t="s">
        <v>1671</v>
      </c>
      <c r="I1108" t="s">
        <v>800</v>
      </c>
    </row>
    <row r="1109" spans="1:9" x14ac:dyDescent="0.3">
      <c r="A1109" t="s">
        <v>873</v>
      </c>
      <c r="C1109" t="s">
        <v>775</v>
      </c>
      <c r="E1109" t="s">
        <v>3548</v>
      </c>
      <c r="G1109" t="s">
        <v>1672</v>
      </c>
      <c r="I1109" t="s">
        <v>801</v>
      </c>
    </row>
    <row r="1110" spans="1:9" x14ac:dyDescent="0.3">
      <c r="A1110" t="s">
        <v>874</v>
      </c>
      <c r="C1110" t="s">
        <v>776</v>
      </c>
      <c r="E1110" t="s">
        <v>1827</v>
      </c>
      <c r="G1110" t="s">
        <v>1675</v>
      </c>
      <c r="I1110" t="s">
        <v>804</v>
      </c>
    </row>
    <row r="1111" spans="1:9" x14ac:dyDescent="0.3">
      <c r="A1111" t="s">
        <v>875</v>
      </c>
      <c r="C1111" t="s">
        <v>777</v>
      </c>
      <c r="E1111" t="s">
        <v>3549</v>
      </c>
      <c r="G1111" t="s">
        <v>1676</v>
      </c>
      <c r="I1111" t="s">
        <v>805</v>
      </c>
    </row>
    <row r="1112" spans="1:9" x14ac:dyDescent="0.3">
      <c r="A1112" t="s">
        <v>876</v>
      </c>
      <c r="C1112" t="s">
        <v>778</v>
      </c>
      <c r="G1112" t="s">
        <v>1677</v>
      </c>
      <c r="I1112" t="s">
        <v>806</v>
      </c>
    </row>
    <row r="1113" spans="1:9" x14ac:dyDescent="0.3">
      <c r="A1113" t="s">
        <v>877</v>
      </c>
      <c r="C1113" t="s">
        <v>779</v>
      </c>
      <c r="G1113" t="s">
        <v>1678</v>
      </c>
      <c r="I1113" t="s">
        <v>807</v>
      </c>
    </row>
    <row r="1114" spans="1:9" x14ac:dyDescent="0.3">
      <c r="A1114" t="s">
        <v>878</v>
      </c>
      <c r="E1114" t="s">
        <v>1069</v>
      </c>
      <c r="G1114" t="s">
        <v>1679</v>
      </c>
      <c r="I1114" t="s">
        <v>808</v>
      </c>
    </row>
    <row r="1115" spans="1:9" x14ac:dyDescent="0.3">
      <c r="A1115" t="s">
        <v>879</v>
      </c>
      <c r="E1115" t="s">
        <v>1554</v>
      </c>
      <c r="G1115" t="s">
        <v>1680</v>
      </c>
      <c r="I1115" t="s">
        <v>809</v>
      </c>
    </row>
    <row r="1116" spans="1:9" x14ac:dyDescent="0.3">
      <c r="A1116" t="s">
        <v>880</v>
      </c>
      <c r="C1116" t="s">
        <v>780</v>
      </c>
      <c r="G1116" t="s">
        <v>1681</v>
      </c>
      <c r="I1116" t="s">
        <v>810</v>
      </c>
    </row>
    <row r="1117" spans="1:9" x14ac:dyDescent="0.3">
      <c r="A1117" t="s">
        <v>1510</v>
      </c>
      <c r="C1117" t="s">
        <v>1503</v>
      </c>
      <c r="E1117" t="s">
        <v>3186</v>
      </c>
      <c r="I1117" t="s">
        <v>811</v>
      </c>
    </row>
    <row r="1118" spans="1:9" x14ac:dyDescent="0.3">
      <c r="I1118" t="s">
        <v>812</v>
      </c>
    </row>
    <row r="1119" spans="1:9" x14ac:dyDescent="0.3">
      <c r="C1119" t="s">
        <v>3173</v>
      </c>
      <c r="E1119" t="s">
        <v>1830</v>
      </c>
      <c r="G1119" t="s">
        <v>646</v>
      </c>
      <c r="I1119" t="s">
        <v>813</v>
      </c>
    </row>
    <row r="1120" spans="1:9" x14ac:dyDescent="0.3">
      <c r="A1120" t="s">
        <v>1114</v>
      </c>
      <c r="E1120" t="s">
        <v>89</v>
      </c>
      <c r="G1120" t="s">
        <v>1554</v>
      </c>
      <c r="I1120" t="s">
        <v>814</v>
      </c>
    </row>
    <row r="1121" spans="1:9" x14ac:dyDescent="0.3">
      <c r="A1121" t="s">
        <v>1503</v>
      </c>
      <c r="C1121" t="s">
        <v>774</v>
      </c>
      <c r="E1121" t="s">
        <v>1831</v>
      </c>
      <c r="I1121" t="s">
        <v>815</v>
      </c>
    </row>
    <row r="1122" spans="1:9" x14ac:dyDescent="0.3">
      <c r="C1122" t="s">
        <v>775</v>
      </c>
      <c r="E1122" t="s">
        <v>1832</v>
      </c>
      <c r="G1122" t="s">
        <v>3166</v>
      </c>
      <c r="I1122" t="s">
        <v>816</v>
      </c>
    </row>
    <row r="1123" spans="1:9" x14ac:dyDescent="0.3">
      <c r="A1123" t="s">
        <v>882</v>
      </c>
      <c r="C1123" t="s">
        <v>776</v>
      </c>
      <c r="E1123" t="s">
        <v>1833</v>
      </c>
      <c r="I1123" t="s">
        <v>817</v>
      </c>
    </row>
    <row r="1124" spans="1:9" x14ac:dyDescent="0.3">
      <c r="A1124" t="s">
        <v>883</v>
      </c>
      <c r="C1124" t="s">
        <v>777</v>
      </c>
      <c r="E1124" t="s">
        <v>3550</v>
      </c>
      <c r="G1124" t="s">
        <v>1679</v>
      </c>
      <c r="I1124" t="s">
        <v>818</v>
      </c>
    </row>
    <row r="1125" spans="1:9" x14ac:dyDescent="0.3">
      <c r="A1125" t="s">
        <v>884</v>
      </c>
      <c r="C1125" t="s">
        <v>778</v>
      </c>
      <c r="E1125" t="s">
        <v>1836</v>
      </c>
      <c r="G1125" t="s">
        <v>1680</v>
      </c>
      <c r="I1125" t="s">
        <v>1507</v>
      </c>
    </row>
    <row r="1126" spans="1:9" x14ac:dyDescent="0.3">
      <c r="A1126" t="s">
        <v>885</v>
      </c>
      <c r="C1126" t="s">
        <v>781</v>
      </c>
      <c r="E1126" t="s">
        <v>3551</v>
      </c>
      <c r="G1126" t="s">
        <v>1681</v>
      </c>
    </row>
    <row r="1127" spans="1:9" x14ac:dyDescent="0.3">
      <c r="A1127" t="s">
        <v>886</v>
      </c>
      <c r="C1127" t="s">
        <v>782</v>
      </c>
      <c r="E1127" t="s">
        <v>1839</v>
      </c>
      <c r="G1127" t="s">
        <v>1682</v>
      </c>
    </row>
    <row r="1128" spans="1:9" x14ac:dyDescent="0.3">
      <c r="A1128" t="s">
        <v>889</v>
      </c>
      <c r="C1128" t="s">
        <v>783</v>
      </c>
      <c r="E1128" t="s">
        <v>1840</v>
      </c>
      <c r="G1128" t="s">
        <v>1683</v>
      </c>
      <c r="I1128" t="s">
        <v>1046</v>
      </c>
    </row>
    <row r="1129" spans="1:9" x14ac:dyDescent="0.3">
      <c r="A1129" t="s">
        <v>890</v>
      </c>
      <c r="C1129" t="s">
        <v>784</v>
      </c>
      <c r="E1129" t="s">
        <v>1842</v>
      </c>
      <c r="G1129" t="s">
        <v>1684</v>
      </c>
      <c r="I1129" t="s">
        <v>1503</v>
      </c>
    </row>
    <row r="1130" spans="1:9" x14ac:dyDescent="0.3">
      <c r="A1130" t="s">
        <v>891</v>
      </c>
      <c r="C1130" t="s">
        <v>785</v>
      </c>
      <c r="E1130" t="s">
        <v>3552</v>
      </c>
      <c r="G1130" t="s">
        <v>1685</v>
      </c>
    </row>
    <row r="1131" spans="1:9" x14ac:dyDescent="0.3">
      <c r="A1131" t="s">
        <v>1511</v>
      </c>
      <c r="C1131" t="s">
        <v>786</v>
      </c>
      <c r="E1131" t="s">
        <v>3553</v>
      </c>
      <c r="G1131" t="s">
        <v>1686</v>
      </c>
      <c r="I1131" t="s">
        <v>3185</v>
      </c>
    </row>
    <row r="1132" spans="1:9" x14ac:dyDescent="0.3">
      <c r="C1132" t="s">
        <v>787</v>
      </c>
      <c r="E1132" t="s">
        <v>3554</v>
      </c>
      <c r="G1132" t="s">
        <v>1687</v>
      </c>
    </row>
    <row r="1133" spans="1:9" x14ac:dyDescent="0.3">
      <c r="C1133" t="s">
        <v>788</v>
      </c>
      <c r="G1133" t="s">
        <v>1688</v>
      </c>
      <c r="I1133" t="s">
        <v>820</v>
      </c>
    </row>
    <row r="1134" spans="1:9" x14ac:dyDescent="0.3">
      <c r="A1134" t="s">
        <v>1137</v>
      </c>
      <c r="C1134" t="s">
        <v>789</v>
      </c>
      <c r="G1134" t="s">
        <v>1689</v>
      </c>
      <c r="I1134" t="s">
        <v>821</v>
      </c>
    </row>
    <row r="1135" spans="1:9" x14ac:dyDescent="0.3">
      <c r="A1135" t="s">
        <v>1503</v>
      </c>
      <c r="C1135" t="s">
        <v>790</v>
      </c>
      <c r="E1135" t="s">
        <v>1093</v>
      </c>
      <c r="G1135" t="s">
        <v>1692</v>
      </c>
      <c r="I1135" t="s">
        <v>824</v>
      </c>
    </row>
    <row r="1136" spans="1:9" x14ac:dyDescent="0.3">
      <c r="C1136" t="s">
        <v>791</v>
      </c>
      <c r="E1136" t="s">
        <v>1554</v>
      </c>
      <c r="G1136" t="s">
        <v>1693</v>
      </c>
      <c r="I1136" t="s">
        <v>825</v>
      </c>
    </row>
    <row r="1137" spans="1:9" x14ac:dyDescent="0.3">
      <c r="A1137" t="s">
        <v>893</v>
      </c>
      <c r="C1137" t="s">
        <v>792</v>
      </c>
      <c r="G1137" t="s">
        <v>1694</v>
      </c>
      <c r="I1137" t="s">
        <v>826</v>
      </c>
    </row>
    <row r="1138" spans="1:9" x14ac:dyDescent="0.3">
      <c r="A1138" t="s">
        <v>894</v>
      </c>
      <c r="C1138" t="s">
        <v>89</v>
      </c>
      <c r="E1138" t="s">
        <v>3187</v>
      </c>
      <c r="G1138" t="s">
        <v>1695</v>
      </c>
      <c r="I1138" t="s">
        <v>827</v>
      </c>
    </row>
    <row r="1139" spans="1:9" x14ac:dyDescent="0.3">
      <c r="A1139" t="s">
        <v>895</v>
      </c>
      <c r="C1139" t="s">
        <v>793</v>
      </c>
      <c r="G1139" t="s">
        <v>1696</v>
      </c>
      <c r="I1139" t="s">
        <v>828</v>
      </c>
    </row>
    <row r="1140" spans="1:9" x14ac:dyDescent="0.3">
      <c r="A1140" t="s">
        <v>896</v>
      </c>
      <c r="C1140" t="s">
        <v>794</v>
      </c>
      <c r="E1140" t="s">
        <v>1848</v>
      </c>
      <c r="G1140" t="s">
        <v>1697</v>
      </c>
      <c r="I1140" t="s">
        <v>829</v>
      </c>
    </row>
    <row r="1141" spans="1:9" x14ac:dyDescent="0.3">
      <c r="A1141" t="s">
        <v>1512</v>
      </c>
      <c r="C1141" t="s">
        <v>795</v>
      </c>
      <c r="E1141" t="s">
        <v>1849</v>
      </c>
      <c r="G1141" t="s">
        <v>1698</v>
      </c>
      <c r="I1141" t="s">
        <v>830</v>
      </c>
    </row>
    <row r="1142" spans="1:9" x14ac:dyDescent="0.3">
      <c r="C1142" t="s">
        <v>796</v>
      </c>
      <c r="E1142" t="s">
        <v>3555</v>
      </c>
      <c r="G1142" t="s">
        <v>3959</v>
      </c>
      <c r="I1142" t="s">
        <v>831</v>
      </c>
    </row>
    <row r="1143" spans="1:9" x14ac:dyDescent="0.3">
      <c r="C1143" t="s">
        <v>797</v>
      </c>
      <c r="E1143" t="s">
        <v>1852</v>
      </c>
      <c r="I1143" t="s">
        <v>832</v>
      </c>
    </row>
    <row r="1144" spans="1:9" x14ac:dyDescent="0.3">
      <c r="A1144" t="s">
        <v>1158</v>
      </c>
      <c r="C1144" t="s">
        <v>798</v>
      </c>
      <c r="E1144" t="s">
        <v>1853</v>
      </c>
      <c r="I1144" t="s">
        <v>833</v>
      </c>
    </row>
    <row r="1145" spans="1:9" x14ac:dyDescent="0.3">
      <c r="A1145" t="s">
        <v>1503</v>
      </c>
      <c r="C1145" t="s">
        <v>799</v>
      </c>
      <c r="E1145" t="s">
        <v>3556</v>
      </c>
      <c r="G1145" t="s">
        <v>667</v>
      </c>
      <c r="I1145" t="s">
        <v>834</v>
      </c>
    </row>
    <row r="1146" spans="1:9" x14ac:dyDescent="0.3">
      <c r="C1146" t="s">
        <v>800</v>
      </c>
      <c r="E1146" t="s">
        <v>1856</v>
      </c>
      <c r="G1146" t="s">
        <v>1554</v>
      </c>
      <c r="I1146" t="s">
        <v>835</v>
      </c>
    </row>
    <row r="1147" spans="1:9" x14ac:dyDescent="0.3">
      <c r="A1147" t="s">
        <v>898</v>
      </c>
      <c r="C1147" t="s">
        <v>801</v>
      </c>
      <c r="E1147" t="s">
        <v>3557</v>
      </c>
      <c r="I1147" t="s">
        <v>836</v>
      </c>
    </row>
    <row r="1148" spans="1:9" x14ac:dyDescent="0.3">
      <c r="A1148" t="s">
        <v>899</v>
      </c>
      <c r="C1148" t="s">
        <v>802</v>
      </c>
      <c r="E1148" t="s">
        <v>1862</v>
      </c>
      <c r="G1148" t="s">
        <v>3167</v>
      </c>
      <c r="I1148" t="s">
        <v>837</v>
      </c>
    </row>
    <row r="1149" spans="1:9" x14ac:dyDescent="0.3">
      <c r="A1149" t="s">
        <v>900</v>
      </c>
      <c r="E1149" t="s">
        <v>1863</v>
      </c>
      <c r="I1149" t="s">
        <v>838</v>
      </c>
    </row>
    <row r="1150" spans="1:9" x14ac:dyDescent="0.3">
      <c r="A1150" t="s">
        <v>901</v>
      </c>
      <c r="E1150" t="s">
        <v>3558</v>
      </c>
      <c r="G1150" t="s">
        <v>1696</v>
      </c>
      <c r="I1150" t="s">
        <v>839</v>
      </c>
    </row>
    <row r="1151" spans="1:9" x14ac:dyDescent="0.3">
      <c r="A1151" t="s">
        <v>902</v>
      </c>
      <c r="C1151" t="s">
        <v>803</v>
      </c>
      <c r="E1151" t="s">
        <v>3559</v>
      </c>
      <c r="G1151" t="s">
        <v>1697</v>
      </c>
      <c r="I1151" t="s">
        <v>840</v>
      </c>
    </row>
    <row r="1152" spans="1:9" x14ac:dyDescent="0.3">
      <c r="A1152" t="s">
        <v>903</v>
      </c>
      <c r="C1152" t="s">
        <v>1503</v>
      </c>
      <c r="E1152" t="s">
        <v>1869</v>
      </c>
      <c r="G1152" t="s">
        <v>1698</v>
      </c>
      <c r="I1152" t="s">
        <v>841</v>
      </c>
    </row>
    <row r="1153" spans="1:9" x14ac:dyDescent="0.3">
      <c r="A1153" t="s">
        <v>904</v>
      </c>
      <c r="E1153" t="s">
        <v>3560</v>
      </c>
      <c r="G1153" t="s">
        <v>1699</v>
      </c>
      <c r="I1153" t="s">
        <v>842</v>
      </c>
    </row>
    <row r="1154" spans="1:9" x14ac:dyDescent="0.3">
      <c r="A1154" t="s">
        <v>905</v>
      </c>
      <c r="C1154" t="s">
        <v>3174</v>
      </c>
      <c r="G1154" t="s">
        <v>1700</v>
      </c>
      <c r="I1154" t="s">
        <v>843</v>
      </c>
    </row>
    <row r="1155" spans="1:9" x14ac:dyDescent="0.3">
      <c r="A1155" t="s">
        <v>906</v>
      </c>
      <c r="G1155" t="s">
        <v>1701</v>
      </c>
      <c r="I1155" t="s">
        <v>846</v>
      </c>
    </row>
    <row r="1156" spans="1:9" x14ac:dyDescent="0.3">
      <c r="A1156" t="s">
        <v>907</v>
      </c>
      <c r="C1156" t="s">
        <v>797</v>
      </c>
      <c r="E1156" t="s">
        <v>1114</v>
      </c>
      <c r="G1156" t="s">
        <v>1702</v>
      </c>
      <c r="I1156" t="s">
        <v>847</v>
      </c>
    </row>
    <row r="1157" spans="1:9" x14ac:dyDescent="0.3">
      <c r="A1157" t="s">
        <v>910</v>
      </c>
      <c r="C1157" t="s">
        <v>798</v>
      </c>
      <c r="E1157" t="s">
        <v>1554</v>
      </c>
      <c r="G1157" t="s">
        <v>1703</v>
      </c>
      <c r="I1157" t="s">
        <v>848</v>
      </c>
    </row>
    <row r="1158" spans="1:9" x14ac:dyDescent="0.3">
      <c r="A1158" t="s">
        <v>911</v>
      </c>
      <c r="C1158" t="s">
        <v>799</v>
      </c>
      <c r="G1158" t="s">
        <v>1704</v>
      </c>
      <c r="I1158" t="s">
        <v>1508</v>
      </c>
    </row>
    <row r="1159" spans="1:9" x14ac:dyDescent="0.3">
      <c r="A1159" t="s">
        <v>912</v>
      </c>
      <c r="C1159" t="s">
        <v>800</v>
      </c>
      <c r="E1159" t="s">
        <v>3188</v>
      </c>
      <c r="G1159" t="s">
        <v>1705</v>
      </c>
    </row>
    <row r="1160" spans="1:9" x14ac:dyDescent="0.3">
      <c r="A1160" t="s">
        <v>913</v>
      </c>
      <c r="C1160" t="s">
        <v>801</v>
      </c>
      <c r="G1160" t="s">
        <v>1706</v>
      </c>
    </row>
    <row r="1161" spans="1:9" x14ac:dyDescent="0.3">
      <c r="A1161" t="s">
        <v>914</v>
      </c>
      <c r="C1161" t="s">
        <v>804</v>
      </c>
      <c r="E1161" t="s">
        <v>3561</v>
      </c>
      <c r="G1161" t="s">
        <v>1709</v>
      </c>
      <c r="I1161" t="s">
        <v>1069</v>
      </c>
    </row>
    <row r="1162" spans="1:9" x14ac:dyDescent="0.3">
      <c r="A1162" t="s">
        <v>89</v>
      </c>
      <c r="C1162" t="s">
        <v>805</v>
      </c>
      <c r="E1162" t="s">
        <v>89</v>
      </c>
      <c r="G1162" t="s">
        <v>3418</v>
      </c>
      <c r="I1162" t="s">
        <v>1503</v>
      </c>
    </row>
    <row r="1163" spans="1:9" x14ac:dyDescent="0.3">
      <c r="A1163" t="s">
        <v>915</v>
      </c>
      <c r="C1163" t="s">
        <v>806</v>
      </c>
      <c r="E1163" t="s">
        <v>1873</v>
      </c>
      <c r="G1163" t="s">
        <v>1712</v>
      </c>
    </row>
    <row r="1164" spans="1:9" x14ac:dyDescent="0.3">
      <c r="A1164" t="s">
        <v>916</v>
      </c>
      <c r="C1164" t="s">
        <v>807</v>
      </c>
      <c r="E1164" t="s">
        <v>1874</v>
      </c>
      <c r="G1164" t="s">
        <v>1713</v>
      </c>
      <c r="I1164" t="s">
        <v>3186</v>
      </c>
    </row>
    <row r="1165" spans="1:9" x14ac:dyDescent="0.3">
      <c r="A1165" t="s">
        <v>917</v>
      </c>
      <c r="C1165" t="s">
        <v>808</v>
      </c>
      <c r="E1165" t="s">
        <v>3562</v>
      </c>
      <c r="G1165" t="s">
        <v>89</v>
      </c>
    </row>
    <row r="1166" spans="1:9" x14ac:dyDescent="0.3">
      <c r="A1166" t="s">
        <v>918</v>
      </c>
      <c r="C1166" t="s">
        <v>809</v>
      </c>
      <c r="E1166" t="s">
        <v>1877</v>
      </c>
      <c r="G1166" t="s">
        <v>1714</v>
      </c>
      <c r="I1166" t="s">
        <v>843</v>
      </c>
    </row>
    <row r="1167" spans="1:9" x14ac:dyDescent="0.3">
      <c r="A1167" t="s">
        <v>919</v>
      </c>
      <c r="C1167" t="s">
        <v>810</v>
      </c>
      <c r="E1167" t="s">
        <v>1878</v>
      </c>
      <c r="G1167" t="s">
        <v>1715</v>
      </c>
      <c r="I1167" t="s">
        <v>846</v>
      </c>
    </row>
    <row r="1168" spans="1:9" x14ac:dyDescent="0.3">
      <c r="A1168" t="s">
        <v>920</v>
      </c>
      <c r="C1168" t="s">
        <v>811</v>
      </c>
      <c r="E1168" t="s">
        <v>1879</v>
      </c>
      <c r="G1168" t="s">
        <v>1716</v>
      </c>
      <c r="I1168" t="s">
        <v>847</v>
      </c>
    </row>
    <row r="1169" spans="1:9" x14ac:dyDescent="0.3">
      <c r="A1169" t="s">
        <v>921</v>
      </c>
      <c r="C1169" t="s">
        <v>812</v>
      </c>
      <c r="E1169" t="s">
        <v>3563</v>
      </c>
      <c r="G1169" t="s">
        <v>1717</v>
      </c>
      <c r="I1169" t="s">
        <v>848</v>
      </c>
    </row>
    <row r="1170" spans="1:9" x14ac:dyDescent="0.3">
      <c r="A1170" t="s">
        <v>922</v>
      </c>
      <c r="C1170" t="s">
        <v>813</v>
      </c>
      <c r="E1170" t="s">
        <v>3564</v>
      </c>
      <c r="G1170" t="s">
        <v>1718</v>
      </c>
      <c r="I1170" t="s">
        <v>849</v>
      </c>
    </row>
    <row r="1171" spans="1:9" x14ac:dyDescent="0.3">
      <c r="A1171" t="s">
        <v>1513</v>
      </c>
      <c r="C1171" t="s">
        <v>814</v>
      </c>
      <c r="E1171" t="s">
        <v>1885</v>
      </c>
      <c r="G1171" t="s">
        <v>1719</v>
      </c>
      <c r="I1171" t="s">
        <v>850</v>
      </c>
    </row>
    <row r="1172" spans="1:9" x14ac:dyDescent="0.3">
      <c r="C1172" t="s">
        <v>815</v>
      </c>
      <c r="E1172" t="s">
        <v>3565</v>
      </c>
      <c r="G1172" t="s">
        <v>1720</v>
      </c>
      <c r="I1172" t="s">
        <v>851</v>
      </c>
    </row>
    <row r="1173" spans="1:9" x14ac:dyDescent="0.3">
      <c r="C1173" t="s">
        <v>816</v>
      </c>
      <c r="G1173" t="s">
        <v>3960</v>
      </c>
      <c r="I1173" t="s">
        <v>852</v>
      </c>
    </row>
    <row r="1174" spans="1:9" x14ac:dyDescent="0.3">
      <c r="A1174" t="s">
        <v>1179</v>
      </c>
      <c r="C1174" t="s">
        <v>817</v>
      </c>
      <c r="I1174" t="s">
        <v>853</v>
      </c>
    </row>
    <row r="1175" spans="1:9" x14ac:dyDescent="0.3">
      <c r="A1175" t="s">
        <v>1503</v>
      </c>
      <c r="C1175" t="s">
        <v>818</v>
      </c>
      <c r="E1175" t="s">
        <v>1137</v>
      </c>
      <c r="I1175" t="s">
        <v>89</v>
      </c>
    </row>
    <row r="1176" spans="1:9" x14ac:dyDescent="0.3">
      <c r="C1176" t="s">
        <v>819</v>
      </c>
      <c r="E1176" t="s">
        <v>1554</v>
      </c>
      <c r="G1176" t="s">
        <v>686</v>
      </c>
      <c r="I1176" t="s">
        <v>854</v>
      </c>
    </row>
    <row r="1177" spans="1:9" x14ac:dyDescent="0.3">
      <c r="A1177" t="s">
        <v>916</v>
      </c>
      <c r="C1177" t="s">
        <v>820</v>
      </c>
      <c r="G1177" t="s">
        <v>1554</v>
      </c>
      <c r="I1177" t="s">
        <v>855</v>
      </c>
    </row>
    <row r="1178" spans="1:9" x14ac:dyDescent="0.3">
      <c r="A1178" t="s">
        <v>917</v>
      </c>
      <c r="C1178" t="s">
        <v>821</v>
      </c>
      <c r="E1178" t="s">
        <v>3189</v>
      </c>
      <c r="I1178" t="s">
        <v>856</v>
      </c>
    </row>
    <row r="1179" spans="1:9" x14ac:dyDescent="0.3">
      <c r="A1179" t="s">
        <v>918</v>
      </c>
      <c r="C1179" t="s">
        <v>822</v>
      </c>
      <c r="G1179" t="s">
        <v>3168</v>
      </c>
      <c r="I1179" t="s">
        <v>857</v>
      </c>
    </row>
    <row r="1180" spans="1:9" x14ac:dyDescent="0.3">
      <c r="A1180" t="s">
        <v>919</v>
      </c>
      <c r="E1180" t="s">
        <v>3566</v>
      </c>
      <c r="I1180" t="s">
        <v>858</v>
      </c>
    </row>
    <row r="1181" spans="1:9" x14ac:dyDescent="0.3">
      <c r="A1181" t="s">
        <v>920</v>
      </c>
      <c r="E1181" t="s">
        <v>1889</v>
      </c>
      <c r="G1181" t="s">
        <v>1719</v>
      </c>
      <c r="I1181" t="s">
        <v>859</v>
      </c>
    </row>
    <row r="1182" spans="1:9" x14ac:dyDescent="0.3">
      <c r="A1182" t="s">
        <v>921</v>
      </c>
      <c r="C1182" t="s">
        <v>823</v>
      </c>
      <c r="E1182" t="s">
        <v>1890</v>
      </c>
      <c r="G1182" t="s">
        <v>1720</v>
      </c>
      <c r="I1182" t="s">
        <v>860</v>
      </c>
    </row>
    <row r="1183" spans="1:9" x14ac:dyDescent="0.3">
      <c r="A1183" t="s">
        <v>922</v>
      </c>
      <c r="C1183" t="s">
        <v>1503</v>
      </c>
      <c r="E1183" t="s">
        <v>3567</v>
      </c>
      <c r="G1183" t="s">
        <v>1721</v>
      </c>
      <c r="I1183" t="s">
        <v>861</v>
      </c>
    </row>
    <row r="1184" spans="1:9" x14ac:dyDescent="0.3">
      <c r="A1184" t="s">
        <v>923</v>
      </c>
      <c r="E1184" t="s">
        <v>1894</v>
      </c>
      <c r="G1184" t="s">
        <v>1722</v>
      </c>
      <c r="I1184" t="s">
        <v>862</v>
      </c>
    </row>
    <row r="1185" spans="1:9" x14ac:dyDescent="0.3">
      <c r="A1185" t="s">
        <v>924</v>
      </c>
      <c r="C1185" t="s">
        <v>3175</v>
      </c>
      <c r="E1185" t="s">
        <v>1895</v>
      </c>
      <c r="G1185" t="s">
        <v>1723</v>
      </c>
      <c r="I1185" t="s">
        <v>863</v>
      </c>
    </row>
    <row r="1186" spans="1:9" x14ac:dyDescent="0.3">
      <c r="A1186" t="s">
        <v>925</v>
      </c>
      <c r="E1186" t="s">
        <v>3568</v>
      </c>
      <c r="G1186" t="s">
        <v>1724</v>
      </c>
      <c r="I1186" t="s">
        <v>864</v>
      </c>
    </row>
    <row r="1187" spans="1:9" x14ac:dyDescent="0.3">
      <c r="A1187" t="s">
        <v>926</v>
      </c>
      <c r="C1187" t="s">
        <v>817</v>
      </c>
      <c r="E1187" t="s">
        <v>1899</v>
      </c>
      <c r="G1187" t="s">
        <v>1725</v>
      </c>
      <c r="I1187" t="s">
        <v>867</v>
      </c>
    </row>
    <row r="1188" spans="1:9" x14ac:dyDescent="0.3">
      <c r="A1188" t="s">
        <v>927</v>
      </c>
      <c r="C1188" t="s">
        <v>818</v>
      </c>
      <c r="E1188" t="s">
        <v>1900</v>
      </c>
      <c r="G1188" t="s">
        <v>1726</v>
      </c>
      <c r="I1188" t="s">
        <v>868</v>
      </c>
    </row>
    <row r="1189" spans="1:9" x14ac:dyDescent="0.3">
      <c r="A1189" t="s">
        <v>928</v>
      </c>
      <c r="C1189" t="s">
        <v>819</v>
      </c>
      <c r="E1189" t="s">
        <v>3569</v>
      </c>
      <c r="G1189" t="s">
        <v>1727</v>
      </c>
      <c r="I1189" t="s">
        <v>869</v>
      </c>
    </row>
    <row r="1190" spans="1:9" x14ac:dyDescent="0.3">
      <c r="A1190" t="s">
        <v>929</v>
      </c>
      <c r="C1190" t="s">
        <v>820</v>
      </c>
      <c r="E1190" t="s">
        <v>3570</v>
      </c>
      <c r="G1190" t="s">
        <v>1728</v>
      </c>
      <c r="I1190" t="s">
        <v>1509</v>
      </c>
    </row>
    <row r="1191" spans="1:9" x14ac:dyDescent="0.3">
      <c r="A1191" t="s">
        <v>930</v>
      </c>
      <c r="C1191" t="s">
        <v>821</v>
      </c>
      <c r="E1191" t="s">
        <v>1905</v>
      </c>
      <c r="G1191" t="s">
        <v>1729</v>
      </c>
    </row>
    <row r="1192" spans="1:9" x14ac:dyDescent="0.3">
      <c r="A1192" t="s">
        <v>931</v>
      </c>
      <c r="C1192" t="s">
        <v>824</v>
      </c>
      <c r="E1192" t="s">
        <v>1906</v>
      </c>
      <c r="G1192" t="s">
        <v>1730</v>
      </c>
    </row>
    <row r="1193" spans="1:9" x14ac:dyDescent="0.3">
      <c r="A1193" t="s">
        <v>934</v>
      </c>
      <c r="C1193" t="s">
        <v>825</v>
      </c>
      <c r="E1193" t="s">
        <v>1907</v>
      </c>
      <c r="G1193" t="s">
        <v>1731</v>
      </c>
      <c r="I1193" t="s">
        <v>1093</v>
      </c>
    </row>
    <row r="1194" spans="1:9" x14ac:dyDescent="0.3">
      <c r="A1194" t="s">
        <v>935</v>
      </c>
      <c r="C1194" t="s">
        <v>826</v>
      </c>
      <c r="E1194" t="s">
        <v>3571</v>
      </c>
      <c r="G1194" t="s">
        <v>1734</v>
      </c>
      <c r="I1194" t="s">
        <v>1503</v>
      </c>
    </row>
    <row r="1195" spans="1:9" x14ac:dyDescent="0.3">
      <c r="A1195" t="s">
        <v>936</v>
      </c>
      <c r="C1195" t="s">
        <v>827</v>
      </c>
      <c r="E1195" t="s">
        <v>1909</v>
      </c>
      <c r="G1195" t="s">
        <v>1735</v>
      </c>
    </row>
    <row r="1196" spans="1:9" x14ac:dyDescent="0.3">
      <c r="A1196" t="s">
        <v>937</v>
      </c>
      <c r="C1196" t="s">
        <v>828</v>
      </c>
      <c r="G1196" t="s">
        <v>491</v>
      </c>
      <c r="I1196" t="s">
        <v>3187</v>
      </c>
    </row>
    <row r="1197" spans="1:9" x14ac:dyDescent="0.3">
      <c r="A1197" t="s">
        <v>938</v>
      </c>
      <c r="C1197" t="s">
        <v>829</v>
      </c>
      <c r="G1197" t="s">
        <v>1736</v>
      </c>
    </row>
    <row r="1198" spans="1:9" x14ac:dyDescent="0.3">
      <c r="A1198" t="s">
        <v>939</v>
      </c>
      <c r="C1198" t="s">
        <v>830</v>
      </c>
      <c r="E1198" t="s">
        <v>1158</v>
      </c>
      <c r="G1198" t="s">
        <v>1737</v>
      </c>
      <c r="I1198" t="s">
        <v>864</v>
      </c>
    </row>
    <row r="1199" spans="1:9" x14ac:dyDescent="0.3">
      <c r="A1199" t="s">
        <v>940</v>
      </c>
      <c r="C1199" t="s">
        <v>831</v>
      </c>
      <c r="E1199" t="s">
        <v>1911</v>
      </c>
      <c r="G1199" t="s">
        <v>1738</v>
      </c>
      <c r="I1199" t="s">
        <v>867</v>
      </c>
    </row>
    <row r="1200" spans="1:9" x14ac:dyDescent="0.3">
      <c r="A1200" t="s">
        <v>941</v>
      </c>
      <c r="C1200" t="s">
        <v>832</v>
      </c>
      <c r="G1200" t="s">
        <v>1739</v>
      </c>
      <c r="I1200" t="s">
        <v>868</v>
      </c>
    </row>
    <row r="1201" spans="1:9" x14ac:dyDescent="0.3">
      <c r="A1201" t="s">
        <v>942</v>
      </c>
      <c r="C1201" t="s">
        <v>833</v>
      </c>
      <c r="E1201" t="s">
        <v>3190</v>
      </c>
      <c r="G1201" t="s">
        <v>1740</v>
      </c>
      <c r="I1201" t="s">
        <v>869</v>
      </c>
    </row>
    <row r="1202" spans="1:9" x14ac:dyDescent="0.3">
      <c r="A1202" t="s">
        <v>943</v>
      </c>
      <c r="C1202" t="s">
        <v>834</v>
      </c>
      <c r="G1202" t="s">
        <v>1741</v>
      </c>
      <c r="I1202" t="s">
        <v>870</v>
      </c>
    </row>
    <row r="1203" spans="1:9" x14ac:dyDescent="0.3">
      <c r="A1203" t="s">
        <v>944</v>
      </c>
      <c r="C1203" t="s">
        <v>835</v>
      </c>
      <c r="E1203" t="s">
        <v>3572</v>
      </c>
      <c r="G1203" t="s">
        <v>1742</v>
      </c>
      <c r="I1203" t="s">
        <v>871</v>
      </c>
    </row>
    <row r="1204" spans="1:9" ht="28.8" x14ac:dyDescent="0.3">
      <c r="A1204" t="s">
        <v>1514</v>
      </c>
      <c r="C1204" t="s">
        <v>836</v>
      </c>
      <c r="E1204" s="9" t="s">
        <v>1914</v>
      </c>
      <c r="G1204" t="s">
        <v>1743</v>
      </c>
      <c r="I1204" t="s">
        <v>872</v>
      </c>
    </row>
    <row r="1205" spans="1:9" x14ac:dyDescent="0.3">
      <c r="C1205" t="s">
        <v>837</v>
      </c>
      <c r="E1205" t="s">
        <v>3431</v>
      </c>
      <c r="G1205" t="s">
        <v>1744</v>
      </c>
      <c r="I1205" t="s">
        <v>873</v>
      </c>
    </row>
    <row r="1206" spans="1:9" x14ac:dyDescent="0.3">
      <c r="C1206" t="s">
        <v>838</v>
      </c>
      <c r="E1206" t="s">
        <v>1917</v>
      </c>
      <c r="I1206" t="s">
        <v>874</v>
      </c>
    </row>
    <row r="1207" spans="1:9" x14ac:dyDescent="0.3">
      <c r="A1207" t="s">
        <v>1203</v>
      </c>
      <c r="C1207" t="s">
        <v>839</v>
      </c>
      <c r="E1207" t="s">
        <v>1918</v>
      </c>
      <c r="I1207" t="s">
        <v>875</v>
      </c>
    </row>
    <row r="1208" spans="1:9" x14ac:dyDescent="0.3">
      <c r="A1208" t="s">
        <v>1503</v>
      </c>
      <c r="C1208" t="s">
        <v>840</v>
      </c>
      <c r="E1208" t="s">
        <v>1919</v>
      </c>
      <c r="G1208" t="s">
        <v>707</v>
      </c>
      <c r="I1208" t="s">
        <v>876</v>
      </c>
    </row>
    <row r="1209" spans="1:9" x14ac:dyDescent="0.3">
      <c r="C1209" t="s">
        <v>841</v>
      </c>
      <c r="E1209" t="s">
        <v>1920</v>
      </c>
      <c r="G1209" t="s">
        <v>1554</v>
      </c>
      <c r="I1209" t="s">
        <v>877</v>
      </c>
    </row>
    <row r="1210" spans="1:9" x14ac:dyDescent="0.3">
      <c r="A1210" t="s">
        <v>946</v>
      </c>
      <c r="C1210" t="s">
        <v>842</v>
      </c>
      <c r="E1210" t="s">
        <v>3573</v>
      </c>
      <c r="I1210" t="s">
        <v>878</v>
      </c>
    </row>
    <row r="1211" spans="1:9" x14ac:dyDescent="0.3">
      <c r="A1211" t="s">
        <v>947</v>
      </c>
      <c r="C1211" t="s">
        <v>843</v>
      </c>
      <c r="E1211" t="s">
        <v>1924</v>
      </c>
      <c r="G1211" t="s">
        <v>3169</v>
      </c>
      <c r="I1211" t="s">
        <v>879</v>
      </c>
    </row>
    <row r="1212" spans="1:9" x14ac:dyDescent="0.3">
      <c r="A1212" t="s">
        <v>948</v>
      </c>
      <c r="C1212" t="s">
        <v>844</v>
      </c>
      <c r="E1212" t="s">
        <v>1925</v>
      </c>
      <c r="I1212" t="s">
        <v>880</v>
      </c>
    </row>
    <row r="1213" spans="1:9" x14ac:dyDescent="0.3">
      <c r="A1213" t="s">
        <v>949</v>
      </c>
      <c r="E1213" t="s">
        <v>1926</v>
      </c>
      <c r="G1213" t="s">
        <v>1741</v>
      </c>
      <c r="I1213" t="s">
        <v>1510</v>
      </c>
    </row>
    <row r="1214" spans="1:9" x14ac:dyDescent="0.3">
      <c r="A1214" t="s">
        <v>950</v>
      </c>
      <c r="E1214" t="s">
        <v>1927</v>
      </c>
      <c r="G1214" t="s">
        <v>1742</v>
      </c>
    </row>
    <row r="1215" spans="1:9" x14ac:dyDescent="0.3">
      <c r="A1215" t="s">
        <v>951</v>
      </c>
      <c r="C1215" t="s">
        <v>845</v>
      </c>
      <c r="E1215" t="s">
        <v>3574</v>
      </c>
      <c r="G1215" t="s">
        <v>1743</v>
      </c>
    </row>
    <row r="1216" spans="1:9" x14ac:dyDescent="0.3">
      <c r="A1216" t="s">
        <v>1515</v>
      </c>
      <c r="C1216" t="s">
        <v>1503</v>
      </c>
      <c r="E1216" t="s">
        <v>3575</v>
      </c>
      <c r="G1216" t="s">
        <v>1744</v>
      </c>
      <c r="I1216" t="s">
        <v>1114</v>
      </c>
    </row>
    <row r="1217" spans="1:9" x14ac:dyDescent="0.3">
      <c r="E1217" t="s">
        <v>1932</v>
      </c>
      <c r="G1217" t="s">
        <v>1745</v>
      </c>
      <c r="I1217" t="s">
        <v>1503</v>
      </c>
    </row>
    <row r="1218" spans="1:9" x14ac:dyDescent="0.3">
      <c r="C1218" t="s">
        <v>3176</v>
      </c>
      <c r="E1218" t="s">
        <v>1933</v>
      </c>
      <c r="G1218" t="s">
        <v>1746</v>
      </c>
    </row>
    <row r="1219" spans="1:9" x14ac:dyDescent="0.3">
      <c r="A1219" t="s">
        <v>1226</v>
      </c>
      <c r="E1219" t="s">
        <v>1934</v>
      </c>
      <c r="G1219" t="s">
        <v>616</v>
      </c>
      <c r="I1219" t="s">
        <v>3188</v>
      </c>
    </row>
    <row r="1220" spans="1:9" x14ac:dyDescent="0.3">
      <c r="A1220" t="s">
        <v>1503</v>
      </c>
      <c r="C1220" t="s">
        <v>840</v>
      </c>
      <c r="E1220" t="s">
        <v>1935</v>
      </c>
      <c r="G1220" t="s">
        <v>1747</v>
      </c>
    </row>
    <row r="1221" spans="1:9" x14ac:dyDescent="0.3">
      <c r="C1221" t="s">
        <v>841</v>
      </c>
      <c r="E1221" t="s">
        <v>1936</v>
      </c>
      <c r="G1221" t="s">
        <v>1748</v>
      </c>
      <c r="I1221" t="s">
        <v>882</v>
      </c>
    </row>
    <row r="1222" spans="1:9" x14ac:dyDescent="0.3">
      <c r="A1222" t="s">
        <v>953</v>
      </c>
      <c r="C1222" t="s">
        <v>842</v>
      </c>
      <c r="E1222" t="s">
        <v>1937</v>
      </c>
      <c r="G1222" t="s">
        <v>1749</v>
      </c>
      <c r="I1222" t="s">
        <v>883</v>
      </c>
    </row>
    <row r="1223" spans="1:9" x14ac:dyDescent="0.3">
      <c r="A1223" t="s">
        <v>954</v>
      </c>
      <c r="C1223" t="s">
        <v>843</v>
      </c>
      <c r="E1223" t="s">
        <v>1938</v>
      </c>
      <c r="G1223" t="s">
        <v>1750</v>
      </c>
      <c r="I1223" t="s">
        <v>884</v>
      </c>
    </row>
    <row r="1224" spans="1:9" x14ac:dyDescent="0.3">
      <c r="A1224" t="s">
        <v>955</v>
      </c>
      <c r="C1224" t="s">
        <v>846</v>
      </c>
      <c r="G1224" t="s">
        <v>1752</v>
      </c>
      <c r="I1224" t="s">
        <v>885</v>
      </c>
    </row>
    <row r="1225" spans="1:9" x14ac:dyDescent="0.3">
      <c r="A1225" t="s">
        <v>956</v>
      </c>
      <c r="C1225" t="s">
        <v>847</v>
      </c>
      <c r="G1225" t="s">
        <v>89</v>
      </c>
      <c r="I1225" t="s">
        <v>886</v>
      </c>
    </row>
    <row r="1226" spans="1:9" x14ac:dyDescent="0.3">
      <c r="A1226" t="s">
        <v>959</v>
      </c>
      <c r="C1226" t="s">
        <v>848</v>
      </c>
      <c r="E1226" t="s">
        <v>1179</v>
      </c>
      <c r="G1226" t="s">
        <v>1753</v>
      </c>
      <c r="I1226" t="s">
        <v>889</v>
      </c>
    </row>
    <row r="1227" spans="1:9" x14ac:dyDescent="0.3">
      <c r="A1227" t="s">
        <v>960</v>
      </c>
      <c r="C1227" t="s">
        <v>849</v>
      </c>
      <c r="E1227" t="s">
        <v>1911</v>
      </c>
      <c r="G1227" t="s">
        <v>1754</v>
      </c>
      <c r="I1227" t="s">
        <v>890</v>
      </c>
    </row>
    <row r="1228" spans="1:9" x14ac:dyDescent="0.3">
      <c r="A1228" t="s">
        <v>961</v>
      </c>
      <c r="C1228" t="s">
        <v>850</v>
      </c>
      <c r="G1228" t="s">
        <v>1755</v>
      </c>
      <c r="I1228" t="s">
        <v>891</v>
      </c>
    </row>
    <row r="1229" spans="1:9" x14ac:dyDescent="0.3">
      <c r="A1229" t="s">
        <v>1516</v>
      </c>
      <c r="C1229" t="s">
        <v>851</v>
      </c>
      <c r="E1229" t="s">
        <v>3191</v>
      </c>
      <c r="G1229" t="s">
        <v>1756</v>
      </c>
      <c r="I1229" t="s">
        <v>1511</v>
      </c>
    </row>
    <row r="1230" spans="1:9" x14ac:dyDescent="0.3">
      <c r="C1230" t="s">
        <v>852</v>
      </c>
      <c r="G1230" t="s">
        <v>1757</v>
      </c>
    </row>
    <row r="1231" spans="1:9" x14ac:dyDescent="0.3">
      <c r="C1231" t="s">
        <v>853</v>
      </c>
      <c r="E1231" t="s">
        <v>1940</v>
      </c>
      <c r="G1231" t="s">
        <v>1758</v>
      </c>
    </row>
    <row r="1232" spans="1:9" x14ac:dyDescent="0.3">
      <c r="A1232" t="s">
        <v>1246</v>
      </c>
      <c r="C1232" t="s">
        <v>89</v>
      </c>
      <c r="E1232" t="s">
        <v>1941</v>
      </c>
      <c r="G1232" t="s">
        <v>1759</v>
      </c>
      <c r="I1232" t="s">
        <v>1137</v>
      </c>
    </row>
    <row r="1233" spans="1:9" x14ac:dyDescent="0.3">
      <c r="A1233" t="s">
        <v>1503</v>
      </c>
      <c r="C1233" t="s">
        <v>854</v>
      </c>
      <c r="E1233" t="s">
        <v>1942</v>
      </c>
      <c r="G1233" t="s">
        <v>1760</v>
      </c>
      <c r="I1233" t="s">
        <v>1503</v>
      </c>
    </row>
    <row r="1234" spans="1:9" x14ac:dyDescent="0.3">
      <c r="C1234" t="s">
        <v>855</v>
      </c>
      <c r="E1234" t="e">
        <f>- installazione e manutenzione: impianti elettrici e impianti</f>
        <v>#NAME?</v>
      </c>
      <c r="G1234" t="s">
        <v>1761</v>
      </c>
    </row>
    <row r="1235" spans="1:9" x14ac:dyDescent="0.3">
      <c r="A1235" t="s">
        <v>963</v>
      </c>
      <c r="C1235" t="s">
        <v>856</v>
      </c>
      <c r="E1235" t="s">
        <v>1943</v>
      </c>
      <c r="G1235" t="s">
        <v>1762</v>
      </c>
      <c r="I1235" t="s">
        <v>3189</v>
      </c>
    </row>
    <row r="1236" spans="1:9" x14ac:dyDescent="0.3">
      <c r="A1236" t="s">
        <v>964</v>
      </c>
      <c r="C1236" t="s">
        <v>857</v>
      </c>
      <c r="E1236" t="s">
        <v>1944</v>
      </c>
      <c r="G1236" t="s">
        <v>1763</v>
      </c>
    </row>
    <row r="1237" spans="1:9" x14ac:dyDescent="0.3">
      <c r="A1237" t="s">
        <v>965</v>
      </c>
      <c r="C1237" t="s">
        <v>858</v>
      </c>
      <c r="E1237" t="s">
        <v>1945</v>
      </c>
      <c r="G1237" t="s">
        <v>1764</v>
      </c>
      <c r="I1237" t="s">
        <v>893</v>
      </c>
    </row>
    <row r="1238" spans="1:9" x14ac:dyDescent="0.3">
      <c r="A1238" t="s">
        <v>966</v>
      </c>
      <c r="C1238" t="s">
        <v>859</v>
      </c>
      <c r="E1238" t="s">
        <v>1946</v>
      </c>
      <c r="G1238" t="s">
        <v>1765</v>
      </c>
      <c r="I1238" t="s">
        <v>894</v>
      </c>
    </row>
    <row r="1239" spans="1:9" x14ac:dyDescent="0.3">
      <c r="A1239" t="s">
        <v>967</v>
      </c>
      <c r="C1239" t="s">
        <v>860</v>
      </c>
      <c r="E1239" t="s">
        <v>1947</v>
      </c>
      <c r="G1239" t="s">
        <v>3421</v>
      </c>
      <c r="I1239" t="s">
        <v>895</v>
      </c>
    </row>
    <row r="1240" spans="1:9" x14ac:dyDescent="0.3">
      <c r="A1240" t="s">
        <v>968</v>
      </c>
      <c r="C1240" t="s">
        <v>861</v>
      </c>
      <c r="E1240" t="s">
        <v>1948</v>
      </c>
      <c r="G1240" t="s">
        <v>1768</v>
      </c>
      <c r="I1240" t="s">
        <v>896</v>
      </c>
    </row>
    <row r="1241" spans="1:9" x14ac:dyDescent="0.3">
      <c r="A1241" t="s">
        <v>969</v>
      </c>
      <c r="C1241" t="s">
        <v>862</v>
      </c>
      <c r="E1241" t="s">
        <v>1949</v>
      </c>
      <c r="G1241" t="s">
        <v>1769</v>
      </c>
      <c r="I1241" t="s">
        <v>1512</v>
      </c>
    </row>
    <row r="1242" spans="1:9" x14ac:dyDescent="0.3">
      <c r="A1242" t="s">
        <v>970</v>
      </c>
      <c r="C1242" t="s">
        <v>863</v>
      </c>
      <c r="E1242" t="s">
        <v>1950</v>
      </c>
      <c r="G1242" t="s">
        <v>1770</v>
      </c>
    </row>
    <row r="1243" spans="1:9" x14ac:dyDescent="0.3">
      <c r="A1243" t="s">
        <v>971</v>
      </c>
      <c r="C1243" t="s">
        <v>864</v>
      </c>
      <c r="E1243" t="s">
        <v>1951</v>
      </c>
      <c r="G1243" t="s">
        <v>1771</v>
      </c>
    </row>
    <row r="1244" spans="1:9" x14ac:dyDescent="0.3">
      <c r="A1244" t="s">
        <v>972</v>
      </c>
      <c r="C1244" t="s">
        <v>865</v>
      </c>
      <c r="E1244" t="s">
        <v>1952</v>
      </c>
      <c r="G1244" t="s">
        <v>3961</v>
      </c>
      <c r="I1244" t="s">
        <v>1158</v>
      </c>
    </row>
    <row r="1245" spans="1:9" x14ac:dyDescent="0.3">
      <c r="A1245" t="s">
        <v>973</v>
      </c>
      <c r="E1245" t="s">
        <v>1953</v>
      </c>
      <c r="I1245" t="s">
        <v>1503</v>
      </c>
    </row>
    <row r="1246" spans="1:9" x14ac:dyDescent="0.3">
      <c r="A1246" t="s">
        <v>89</v>
      </c>
      <c r="E1246" t="s">
        <v>1954</v>
      </c>
    </row>
    <row r="1247" spans="1:9" x14ac:dyDescent="0.3">
      <c r="A1247" t="s">
        <v>974</v>
      </c>
      <c r="C1247" t="s">
        <v>866</v>
      </c>
      <c r="E1247" t="s">
        <v>1955</v>
      </c>
      <c r="G1247" t="s">
        <v>726</v>
      </c>
      <c r="I1247" t="s">
        <v>3190</v>
      </c>
    </row>
    <row r="1248" spans="1:9" x14ac:dyDescent="0.3">
      <c r="A1248" t="s">
        <v>975</v>
      </c>
      <c r="C1248" t="s">
        <v>1503</v>
      </c>
      <c r="E1248" t="s">
        <v>1956</v>
      </c>
      <c r="G1248" t="s">
        <v>1554</v>
      </c>
    </row>
    <row r="1249" spans="1:9" x14ac:dyDescent="0.3">
      <c r="A1249" t="s">
        <v>976</v>
      </c>
      <c r="E1249" t="s">
        <v>1957</v>
      </c>
      <c r="I1249" t="s">
        <v>898</v>
      </c>
    </row>
    <row r="1250" spans="1:9" x14ac:dyDescent="0.3">
      <c r="A1250" t="s">
        <v>977</v>
      </c>
      <c r="C1250" t="s">
        <v>3177</v>
      </c>
      <c r="E1250" t="s">
        <v>1958</v>
      </c>
      <c r="G1250" t="s">
        <v>3170</v>
      </c>
      <c r="I1250" t="s">
        <v>899</v>
      </c>
    </row>
    <row r="1251" spans="1:9" x14ac:dyDescent="0.3">
      <c r="A1251" t="s">
        <v>978</v>
      </c>
      <c r="E1251" t="s">
        <v>1959</v>
      </c>
      <c r="I1251" t="s">
        <v>900</v>
      </c>
    </row>
    <row r="1252" spans="1:9" x14ac:dyDescent="0.3">
      <c r="C1252" t="s">
        <v>860</v>
      </c>
      <c r="E1252" t="s">
        <v>1960</v>
      </c>
      <c r="G1252" t="s">
        <v>1764</v>
      </c>
      <c r="I1252" t="s">
        <v>901</v>
      </c>
    </row>
    <row r="1253" spans="1:9" x14ac:dyDescent="0.3">
      <c r="C1253" t="s">
        <v>861</v>
      </c>
      <c r="E1253" t="s">
        <v>1961</v>
      </c>
      <c r="G1253" t="s">
        <v>1765</v>
      </c>
      <c r="I1253" t="s">
        <v>902</v>
      </c>
    </row>
    <row r="1254" spans="1:9" x14ac:dyDescent="0.3">
      <c r="A1254" t="s">
        <v>1268</v>
      </c>
      <c r="C1254" t="s">
        <v>862</v>
      </c>
      <c r="E1254" t="s">
        <v>1962</v>
      </c>
      <c r="G1254" t="s">
        <v>3421</v>
      </c>
      <c r="I1254" t="s">
        <v>903</v>
      </c>
    </row>
    <row r="1255" spans="1:9" x14ac:dyDescent="0.3">
      <c r="A1255" t="s">
        <v>1503</v>
      </c>
      <c r="C1255" t="s">
        <v>863</v>
      </c>
      <c r="E1255">
        <v>1</v>
      </c>
      <c r="G1255" t="s">
        <v>1768</v>
      </c>
      <c r="I1255" t="s">
        <v>904</v>
      </c>
    </row>
    <row r="1256" spans="1:9" x14ac:dyDescent="0.3">
      <c r="C1256" t="s">
        <v>864</v>
      </c>
      <c r="E1256" t="s">
        <v>89</v>
      </c>
      <c r="G1256" t="s">
        <v>1769</v>
      </c>
      <c r="I1256" t="s">
        <v>905</v>
      </c>
    </row>
    <row r="1257" spans="1:9" x14ac:dyDescent="0.3">
      <c r="A1257" t="s">
        <v>981</v>
      </c>
      <c r="C1257" t="s">
        <v>867</v>
      </c>
      <c r="E1257" t="s">
        <v>1963</v>
      </c>
      <c r="G1257" t="s">
        <v>1770</v>
      </c>
      <c r="I1257" t="s">
        <v>906</v>
      </c>
    </row>
    <row r="1258" spans="1:9" x14ac:dyDescent="0.3">
      <c r="A1258" t="s">
        <v>982</v>
      </c>
      <c r="C1258" t="s">
        <v>868</v>
      </c>
      <c r="E1258" t="s">
        <v>1964</v>
      </c>
      <c r="G1258" t="s">
        <v>1771</v>
      </c>
      <c r="I1258" t="s">
        <v>907</v>
      </c>
    </row>
    <row r="1259" spans="1:9" x14ac:dyDescent="0.3">
      <c r="A1259" t="s">
        <v>983</v>
      </c>
      <c r="C1259" t="s">
        <v>869</v>
      </c>
      <c r="E1259" t="s">
        <v>1965</v>
      </c>
      <c r="G1259" t="s">
        <v>1772</v>
      </c>
      <c r="I1259" t="s">
        <v>910</v>
      </c>
    </row>
    <row r="1260" spans="1:9" x14ac:dyDescent="0.3">
      <c r="A1260" t="s">
        <v>984</v>
      </c>
      <c r="C1260" t="s">
        <v>870</v>
      </c>
      <c r="E1260" t="s">
        <v>1966</v>
      </c>
      <c r="G1260" t="s">
        <v>1773</v>
      </c>
      <c r="I1260" t="s">
        <v>911</v>
      </c>
    </row>
    <row r="1261" spans="1:9" x14ac:dyDescent="0.3">
      <c r="A1261" t="s">
        <v>985</v>
      </c>
      <c r="C1261" t="s">
        <v>871</v>
      </c>
      <c r="E1261" t="s">
        <v>1967</v>
      </c>
      <c r="G1261" t="s">
        <v>1774</v>
      </c>
      <c r="I1261" t="s">
        <v>912</v>
      </c>
    </row>
    <row r="1262" spans="1:9" x14ac:dyDescent="0.3">
      <c r="A1262" t="s">
        <v>986</v>
      </c>
      <c r="C1262" t="s">
        <v>872</v>
      </c>
      <c r="E1262" t="e">
        <f>- installazione e manutenzione di: cabine di trasformazione</f>
        <v>#NAME?</v>
      </c>
      <c r="G1262" t="s">
        <v>1775</v>
      </c>
      <c r="I1262" t="s">
        <v>913</v>
      </c>
    </row>
    <row r="1263" spans="1:9" x14ac:dyDescent="0.3">
      <c r="A1263" t="s">
        <v>987</v>
      </c>
      <c r="C1263" t="s">
        <v>873</v>
      </c>
      <c r="G1263" t="s">
        <v>1776</v>
      </c>
      <c r="I1263" t="s">
        <v>914</v>
      </c>
    </row>
    <row r="1264" spans="1:9" x14ac:dyDescent="0.3">
      <c r="A1264" t="s">
        <v>988</v>
      </c>
      <c r="C1264" t="s">
        <v>874</v>
      </c>
      <c r="G1264" t="s">
        <v>1777</v>
      </c>
      <c r="I1264" t="s">
        <v>89</v>
      </c>
    </row>
    <row r="1265" spans="1:9" x14ac:dyDescent="0.3">
      <c r="A1265" t="s">
        <v>989</v>
      </c>
      <c r="C1265" t="s">
        <v>875</v>
      </c>
      <c r="E1265" t="s">
        <v>1203</v>
      </c>
      <c r="G1265" t="s">
        <v>1778</v>
      </c>
      <c r="I1265" t="s">
        <v>915</v>
      </c>
    </row>
    <row r="1266" spans="1:9" x14ac:dyDescent="0.3">
      <c r="A1266" t="s">
        <v>990</v>
      </c>
      <c r="C1266" t="s">
        <v>876</v>
      </c>
      <c r="E1266" t="s">
        <v>1911</v>
      </c>
      <c r="G1266" t="s">
        <v>1779</v>
      </c>
      <c r="I1266" t="s">
        <v>916</v>
      </c>
    </row>
    <row r="1267" spans="1:9" x14ac:dyDescent="0.3">
      <c r="A1267" t="s">
        <v>991</v>
      </c>
      <c r="C1267" t="s">
        <v>877</v>
      </c>
      <c r="G1267" t="s">
        <v>1780</v>
      </c>
      <c r="I1267" t="s">
        <v>917</v>
      </c>
    </row>
    <row r="1268" spans="1:9" x14ac:dyDescent="0.3">
      <c r="A1268" t="s">
        <v>992</v>
      </c>
      <c r="C1268" t="s">
        <v>878</v>
      </c>
      <c r="E1268" t="s">
        <v>3192</v>
      </c>
      <c r="G1268" t="s">
        <v>1781</v>
      </c>
      <c r="I1268" t="s">
        <v>918</v>
      </c>
    </row>
    <row r="1269" spans="1:9" x14ac:dyDescent="0.3">
      <c r="A1269" t="s">
        <v>993</v>
      </c>
      <c r="C1269" t="s">
        <v>879</v>
      </c>
      <c r="G1269" t="s">
        <v>1782</v>
      </c>
      <c r="I1269" t="s">
        <v>919</v>
      </c>
    </row>
    <row r="1270" spans="1:9" x14ac:dyDescent="0.3">
      <c r="A1270" t="s">
        <v>994</v>
      </c>
      <c r="C1270" t="s">
        <v>880</v>
      </c>
      <c r="E1270" t="s">
        <v>1962</v>
      </c>
      <c r="G1270" t="s">
        <v>1783</v>
      </c>
      <c r="I1270" t="s">
        <v>920</v>
      </c>
    </row>
    <row r="1271" spans="1:9" x14ac:dyDescent="0.3">
      <c r="A1271" t="s">
        <v>995</v>
      </c>
      <c r="C1271" t="s">
        <v>881</v>
      </c>
      <c r="E1271">
        <v>1</v>
      </c>
      <c r="G1271" t="s">
        <v>1784</v>
      </c>
      <c r="I1271" t="s">
        <v>921</v>
      </c>
    </row>
    <row r="1272" spans="1:9" x14ac:dyDescent="0.3">
      <c r="A1272" t="s">
        <v>996</v>
      </c>
      <c r="C1272" t="s">
        <v>882</v>
      </c>
      <c r="E1272" t="s">
        <v>89</v>
      </c>
      <c r="G1272" t="s">
        <v>1785</v>
      </c>
      <c r="I1272" t="s">
        <v>922</v>
      </c>
    </row>
    <row r="1273" spans="1:9" x14ac:dyDescent="0.3">
      <c r="A1273" t="s">
        <v>997</v>
      </c>
      <c r="C1273" t="s">
        <v>883</v>
      </c>
      <c r="E1273" t="s">
        <v>1963</v>
      </c>
      <c r="G1273" t="s">
        <v>1786</v>
      </c>
      <c r="I1273" t="s">
        <v>1513</v>
      </c>
    </row>
    <row r="1274" spans="1:9" x14ac:dyDescent="0.3">
      <c r="A1274" t="s">
        <v>998</v>
      </c>
      <c r="C1274" t="s">
        <v>884</v>
      </c>
      <c r="E1274" t="s">
        <v>1964</v>
      </c>
      <c r="G1274" t="s">
        <v>1787</v>
      </c>
    </row>
    <row r="1275" spans="1:9" x14ac:dyDescent="0.3">
      <c r="A1275" t="s">
        <v>1001</v>
      </c>
      <c r="C1275" t="s">
        <v>885</v>
      </c>
      <c r="E1275" t="s">
        <v>1965</v>
      </c>
      <c r="G1275" t="s">
        <v>1788</v>
      </c>
    </row>
    <row r="1276" spans="1:9" x14ac:dyDescent="0.3">
      <c r="A1276" t="s">
        <v>1002</v>
      </c>
      <c r="C1276" t="s">
        <v>886</v>
      </c>
      <c r="E1276" t="s">
        <v>1966</v>
      </c>
      <c r="G1276" t="s">
        <v>1789</v>
      </c>
      <c r="I1276" t="s">
        <v>1179</v>
      </c>
    </row>
    <row r="1277" spans="1:9" x14ac:dyDescent="0.3">
      <c r="A1277" t="s">
        <v>1517</v>
      </c>
      <c r="C1277" t="s">
        <v>887</v>
      </c>
      <c r="E1277" t="s">
        <v>1967</v>
      </c>
      <c r="G1277" t="s">
        <v>89</v>
      </c>
      <c r="I1277" t="s">
        <v>1503</v>
      </c>
    </row>
    <row r="1278" spans="1:9" x14ac:dyDescent="0.3">
      <c r="E1278" t="e">
        <f>- installazione e manutenzione di: cabine di trasformazione</f>
        <v>#NAME?</v>
      </c>
      <c r="G1278" t="s">
        <v>1791</v>
      </c>
    </row>
    <row r="1279" spans="1:9" x14ac:dyDescent="0.3">
      <c r="E1279" t="s">
        <v>1969</v>
      </c>
      <c r="G1279" t="s">
        <v>3962</v>
      </c>
      <c r="I1279" t="s">
        <v>3191</v>
      </c>
    </row>
    <row r="1280" spans="1:9" x14ac:dyDescent="0.3">
      <c r="A1280" t="s">
        <v>1291</v>
      </c>
      <c r="C1280" t="s">
        <v>888</v>
      </c>
      <c r="E1280" t="s">
        <v>1970</v>
      </c>
    </row>
    <row r="1281" spans="1:9" x14ac:dyDescent="0.3">
      <c r="A1281" t="s">
        <v>1503</v>
      </c>
      <c r="C1281" t="s">
        <v>1503</v>
      </c>
      <c r="E1281" t="s">
        <v>1971</v>
      </c>
      <c r="I1281" t="s">
        <v>916</v>
      </c>
    </row>
    <row r="1282" spans="1:9" x14ac:dyDescent="0.3">
      <c r="E1282" t="s">
        <v>1972</v>
      </c>
      <c r="G1282" t="s">
        <v>733</v>
      </c>
      <c r="I1282" t="s">
        <v>917</v>
      </c>
    </row>
    <row r="1283" spans="1:9" x14ac:dyDescent="0.3">
      <c r="A1283" t="s">
        <v>1004</v>
      </c>
      <c r="C1283" t="s">
        <v>3178</v>
      </c>
      <c r="E1283" t="s">
        <v>1973</v>
      </c>
      <c r="G1283" t="s">
        <v>1554</v>
      </c>
      <c r="I1283" t="s">
        <v>918</v>
      </c>
    </row>
    <row r="1284" spans="1:9" x14ac:dyDescent="0.3">
      <c r="A1284" t="s">
        <v>1005</v>
      </c>
      <c r="E1284" t="s">
        <v>1974</v>
      </c>
      <c r="I1284" t="s">
        <v>919</v>
      </c>
    </row>
    <row r="1285" spans="1:9" x14ac:dyDescent="0.3">
      <c r="A1285" t="s">
        <v>1006</v>
      </c>
      <c r="C1285" t="s">
        <v>881</v>
      </c>
      <c r="E1285" t="s">
        <v>1975</v>
      </c>
      <c r="G1285" t="s">
        <v>3171</v>
      </c>
      <c r="I1285" t="s">
        <v>920</v>
      </c>
    </row>
    <row r="1286" spans="1:9" x14ac:dyDescent="0.3">
      <c r="A1286" t="s">
        <v>1518</v>
      </c>
      <c r="C1286" t="s">
        <v>882</v>
      </c>
      <c r="E1286" t="s">
        <v>1976</v>
      </c>
      <c r="I1286" t="s">
        <v>921</v>
      </c>
    </row>
    <row r="1287" spans="1:9" x14ac:dyDescent="0.3">
      <c r="C1287" t="s">
        <v>883</v>
      </c>
      <c r="E1287" t="s">
        <v>1977</v>
      </c>
      <c r="G1287" t="s">
        <v>1787</v>
      </c>
      <c r="I1287" t="s">
        <v>922</v>
      </c>
    </row>
    <row r="1288" spans="1:9" x14ac:dyDescent="0.3">
      <c r="C1288" t="s">
        <v>884</v>
      </c>
      <c r="E1288" t="s">
        <v>1978</v>
      </c>
      <c r="G1288" t="s">
        <v>1788</v>
      </c>
      <c r="I1288" t="s">
        <v>923</v>
      </c>
    </row>
    <row r="1289" spans="1:9" x14ac:dyDescent="0.3">
      <c r="A1289" t="s">
        <v>1302</v>
      </c>
      <c r="C1289" t="s">
        <v>885</v>
      </c>
      <c r="E1289" t="s">
        <v>1979</v>
      </c>
      <c r="G1289" t="s">
        <v>1789</v>
      </c>
      <c r="I1289" t="s">
        <v>924</v>
      </c>
    </row>
    <row r="1290" spans="1:9" x14ac:dyDescent="0.3">
      <c r="A1290" t="s">
        <v>1503</v>
      </c>
      <c r="C1290" t="s">
        <v>886</v>
      </c>
      <c r="E1290" t="s">
        <v>1980</v>
      </c>
      <c r="G1290" t="s">
        <v>89</v>
      </c>
      <c r="I1290" t="s">
        <v>925</v>
      </c>
    </row>
    <row r="1291" spans="1:9" x14ac:dyDescent="0.3">
      <c r="C1291" t="s">
        <v>889</v>
      </c>
      <c r="E1291" t="s">
        <v>1981</v>
      </c>
      <c r="G1291" t="s">
        <v>1791</v>
      </c>
      <c r="I1291" t="s">
        <v>926</v>
      </c>
    </row>
    <row r="1292" spans="1:9" x14ac:dyDescent="0.3">
      <c r="A1292" t="s">
        <v>1008</v>
      </c>
      <c r="C1292" t="s">
        <v>890</v>
      </c>
      <c r="E1292" t="s">
        <v>1982</v>
      </c>
      <c r="G1292" t="s">
        <v>1792</v>
      </c>
      <c r="I1292" t="s">
        <v>927</v>
      </c>
    </row>
    <row r="1293" spans="1:9" x14ac:dyDescent="0.3">
      <c r="A1293" t="s">
        <v>1009</v>
      </c>
      <c r="C1293" t="s">
        <v>891</v>
      </c>
      <c r="E1293" t="s">
        <v>1983</v>
      </c>
      <c r="G1293" t="s">
        <v>1793</v>
      </c>
      <c r="I1293" t="s">
        <v>928</v>
      </c>
    </row>
    <row r="1294" spans="1:9" x14ac:dyDescent="0.3">
      <c r="A1294" t="s">
        <v>1010</v>
      </c>
      <c r="C1294" t="s">
        <v>892</v>
      </c>
      <c r="E1294" t="s">
        <v>1984</v>
      </c>
      <c r="G1294" t="s">
        <v>1794</v>
      </c>
      <c r="I1294" t="s">
        <v>929</v>
      </c>
    </row>
    <row r="1295" spans="1:9" x14ac:dyDescent="0.3">
      <c r="A1295" t="s">
        <v>1011</v>
      </c>
      <c r="C1295" t="s">
        <v>893</v>
      </c>
      <c r="E1295" t="s">
        <v>1985</v>
      </c>
      <c r="G1295" t="s">
        <v>1795</v>
      </c>
      <c r="I1295" t="s">
        <v>930</v>
      </c>
    </row>
    <row r="1296" spans="1:9" x14ac:dyDescent="0.3">
      <c r="A1296" t="s">
        <v>1012</v>
      </c>
      <c r="C1296" t="s">
        <v>894</v>
      </c>
      <c r="E1296" t="s">
        <v>1986</v>
      </c>
      <c r="G1296" t="s">
        <v>1796</v>
      </c>
      <c r="I1296" t="s">
        <v>931</v>
      </c>
    </row>
    <row r="1297" spans="1:9" x14ac:dyDescent="0.3">
      <c r="A1297" t="s">
        <v>1013</v>
      </c>
      <c r="C1297" t="s">
        <v>895</v>
      </c>
      <c r="E1297" t="s">
        <v>1987</v>
      </c>
      <c r="G1297" t="s">
        <v>1797</v>
      </c>
      <c r="I1297" t="s">
        <v>934</v>
      </c>
    </row>
    <row r="1298" spans="1:9" x14ac:dyDescent="0.3">
      <c r="A1298" t="s">
        <v>1014</v>
      </c>
      <c r="C1298" t="s">
        <v>896</v>
      </c>
      <c r="E1298" t="s">
        <v>1988</v>
      </c>
      <c r="G1298" t="s">
        <v>1798</v>
      </c>
      <c r="I1298" t="s">
        <v>935</v>
      </c>
    </row>
    <row r="1299" spans="1:9" x14ac:dyDescent="0.3">
      <c r="A1299" t="s">
        <v>1015</v>
      </c>
      <c r="C1299" t="s">
        <v>897</v>
      </c>
      <c r="E1299" t="s">
        <v>1989</v>
      </c>
      <c r="G1299" t="s">
        <v>1799</v>
      </c>
      <c r="I1299" t="s">
        <v>936</v>
      </c>
    </row>
    <row r="1300" spans="1:9" x14ac:dyDescent="0.3">
      <c r="A1300" t="s">
        <v>1016</v>
      </c>
      <c r="C1300" t="s">
        <v>898</v>
      </c>
      <c r="E1300" t="s">
        <v>1990</v>
      </c>
      <c r="G1300" t="s">
        <v>1800</v>
      </c>
      <c r="I1300" t="s">
        <v>937</v>
      </c>
    </row>
    <row r="1301" spans="1:9" x14ac:dyDescent="0.3">
      <c r="A1301" t="s">
        <v>1017</v>
      </c>
      <c r="C1301" t="s">
        <v>899</v>
      </c>
      <c r="G1301" t="s">
        <v>1801</v>
      </c>
      <c r="I1301" t="s">
        <v>938</v>
      </c>
    </row>
    <row r="1302" spans="1:9" x14ac:dyDescent="0.3">
      <c r="A1302" t="s">
        <v>1018</v>
      </c>
      <c r="C1302" t="s">
        <v>900</v>
      </c>
      <c r="G1302" t="s">
        <v>1802</v>
      </c>
      <c r="I1302" t="s">
        <v>939</v>
      </c>
    </row>
    <row r="1303" spans="1:9" x14ac:dyDescent="0.3">
      <c r="A1303" t="s">
        <v>1019</v>
      </c>
      <c r="C1303" t="s">
        <v>901</v>
      </c>
      <c r="E1303" t="s">
        <v>1226</v>
      </c>
      <c r="G1303" t="s">
        <v>1803</v>
      </c>
      <c r="I1303" t="s">
        <v>940</v>
      </c>
    </row>
    <row r="1304" spans="1:9" x14ac:dyDescent="0.3">
      <c r="A1304" t="s">
        <v>1020</v>
      </c>
      <c r="C1304" t="s">
        <v>902</v>
      </c>
      <c r="E1304" t="s">
        <v>1911</v>
      </c>
      <c r="G1304" t="s">
        <v>1804</v>
      </c>
      <c r="I1304" t="s">
        <v>941</v>
      </c>
    </row>
    <row r="1305" spans="1:9" x14ac:dyDescent="0.3">
      <c r="A1305" t="s">
        <v>1023</v>
      </c>
      <c r="C1305" t="s">
        <v>903</v>
      </c>
      <c r="G1305" t="s">
        <v>1805</v>
      </c>
      <c r="I1305" t="s">
        <v>942</v>
      </c>
    </row>
    <row r="1306" spans="1:9" x14ac:dyDescent="0.3">
      <c r="A1306" t="s">
        <v>1024</v>
      </c>
      <c r="C1306" t="s">
        <v>904</v>
      </c>
      <c r="E1306" t="s">
        <v>3193</v>
      </c>
      <c r="G1306" t="s">
        <v>1806</v>
      </c>
      <c r="I1306" t="s">
        <v>943</v>
      </c>
    </row>
    <row r="1307" spans="1:9" x14ac:dyDescent="0.3">
      <c r="A1307" t="s">
        <v>1025</v>
      </c>
      <c r="C1307" t="s">
        <v>905</v>
      </c>
      <c r="G1307" t="s">
        <v>1807</v>
      </c>
      <c r="I1307" t="s">
        <v>944</v>
      </c>
    </row>
    <row r="1308" spans="1:9" x14ac:dyDescent="0.3">
      <c r="A1308" t="s">
        <v>1026</v>
      </c>
      <c r="C1308" t="s">
        <v>906</v>
      </c>
      <c r="E1308" t="s">
        <v>1984</v>
      </c>
      <c r="G1308" t="s">
        <v>1809</v>
      </c>
      <c r="I1308" t="s">
        <v>1514</v>
      </c>
    </row>
    <row r="1309" spans="1:9" x14ac:dyDescent="0.3">
      <c r="A1309" t="s">
        <v>1027</v>
      </c>
      <c r="C1309" t="s">
        <v>907</v>
      </c>
      <c r="E1309" t="s">
        <v>1985</v>
      </c>
      <c r="G1309" t="s">
        <v>1810</v>
      </c>
    </row>
    <row r="1310" spans="1:9" x14ac:dyDescent="0.3">
      <c r="A1310" t="s">
        <v>1028</v>
      </c>
      <c r="C1310" t="s">
        <v>908</v>
      </c>
      <c r="E1310" t="s">
        <v>1986</v>
      </c>
      <c r="G1310" t="s">
        <v>1811</v>
      </c>
    </row>
    <row r="1311" spans="1:9" x14ac:dyDescent="0.3">
      <c r="A1311" t="s">
        <v>1029</v>
      </c>
      <c r="E1311" t="s">
        <v>1987</v>
      </c>
      <c r="G1311" t="s">
        <v>1812</v>
      </c>
      <c r="I1311" t="s">
        <v>1203</v>
      </c>
    </row>
    <row r="1312" spans="1:9" x14ac:dyDescent="0.3">
      <c r="A1312" t="s">
        <v>1030</v>
      </c>
      <c r="E1312" t="s">
        <v>1988</v>
      </c>
      <c r="G1312" t="s">
        <v>1813</v>
      </c>
      <c r="I1312" t="s">
        <v>1503</v>
      </c>
    </row>
    <row r="1313" spans="1:9" x14ac:dyDescent="0.3">
      <c r="A1313" t="s">
        <v>614</v>
      </c>
      <c r="C1313" t="s">
        <v>909</v>
      </c>
      <c r="E1313" t="s">
        <v>1989</v>
      </c>
      <c r="G1313" t="s">
        <v>3546</v>
      </c>
    </row>
    <row r="1314" spans="1:9" x14ac:dyDescent="0.3">
      <c r="A1314" t="s">
        <v>1031</v>
      </c>
      <c r="C1314" t="s">
        <v>1503</v>
      </c>
      <c r="E1314" t="s">
        <v>1990</v>
      </c>
      <c r="I1314" t="s">
        <v>3192</v>
      </c>
    </row>
    <row r="1315" spans="1:9" x14ac:dyDescent="0.3">
      <c r="A1315" t="s">
        <v>1032</v>
      </c>
      <c r="E1315" t="s">
        <v>1992</v>
      </c>
    </row>
    <row r="1316" spans="1:9" x14ac:dyDescent="0.3">
      <c r="A1316" t="s">
        <v>1033</v>
      </c>
      <c r="C1316" t="s">
        <v>3179</v>
      </c>
      <c r="E1316" t="s">
        <v>1993</v>
      </c>
      <c r="G1316" t="s">
        <v>761</v>
      </c>
      <c r="I1316" t="s">
        <v>946</v>
      </c>
    </row>
    <row r="1317" spans="1:9" x14ac:dyDescent="0.3">
      <c r="A1317" t="s">
        <v>89</v>
      </c>
      <c r="E1317" t="s">
        <v>1994</v>
      </c>
      <c r="G1317" t="s">
        <v>1554</v>
      </c>
      <c r="I1317" t="s">
        <v>947</v>
      </c>
    </row>
    <row r="1318" spans="1:9" x14ac:dyDescent="0.3">
      <c r="A1318" t="s">
        <v>1034</v>
      </c>
      <c r="C1318" t="s">
        <v>904</v>
      </c>
      <c r="E1318" t="s">
        <v>1995</v>
      </c>
      <c r="I1318" t="s">
        <v>948</v>
      </c>
    </row>
    <row r="1319" spans="1:9" x14ac:dyDescent="0.3">
      <c r="A1319" t="s">
        <v>1035</v>
      </c>
      <c r="C1319" t="s">
        <v>905</v>
      </c>
      <c r="E1319" t="s">
        <v>1996</v>
      </c>
      <c r="G1319" t="s">
        <v>3172</v>
      </c>
      <c r="I1319" t="s">
        <v>949</v>
      </c>
    </row>
    <row r="1320" spans="1:9" x14ac:dyDescent="0.3">
      <c r="A1320" t="s">
        <v>1036</v>
      </c>
      <c r="C1320" t="s">
        <v>906</v>
      </c>
      <c r="E1320" t="s">
        <v>1997</v>
      </c>
      <c r="I1320" t="s">
        <v>950</v>
      </c>
    </row>
    <row r="1321" spans="1:9" x14ac:dyDescent="0.3">
      <c r="A1321" t="s">
        <v>1037</v>
      </c>
      <c r="C1321" t="s">
        <v>907</v>
      </c>
      <c r="E1321" t="s">
        <v>1998</v>
      </c>
      <c r="G1321" t="s">
        <v>1811</v>
      </c>
      <c r="I1321" t="s">
        <v>951</v>
      </c>
    </row>
    <row r="1322" spans="1:9" x14ac:dyDescent="0.3">
      <c r="A1322" t="s">
        <v>1038</v>
      </c>
      <c r="C1322" t="s">
        <v>910</v>
      </c>
      <c r="E1322" t="s">
        <v>1999</v>
      </c>
      <c r="G1322" t="s">
        <v>1812</v>
      </c>
      <c r="I1322" t="s">
        <v>1515</v>
      </c>
    </row>
    <row r="1323" spans="1:9" x14ac:dyDescent="0.3">
      <c r="A1323" t="s">
        <v>1519</v>
      </c>
      <c r="C1323" t="s">
        <v>911</v>
      </c>
      <c r="E1323" t="s">
        <v>2000</v>
      </c>
      <c r="G1323" t="s">
        <v>1813</v>
      </c>
    </row>
    <row r="1324" spans="1:9" x14ac:dyDescent="0.3">
      <c r="C1324" t="s">
        <v>912</v>
      </c>
      <c r="E1324" t="s">
        <v>2001</v>
      </c>
      <c r="G1324" t="s">
        <v>1814</v>
      </c>
    </row>
    <row r="1325" spans="1:9" x14ac:dyDescent="0.3">
      <c r="C1325" t="s">
        <v>913</v>
      </c>
      <c r="E1325" t="s">
        <v>2002</v>
      </c>
      <c r="G1325" t="s">
        <v>1815</v>
      </c>
      <c r="I1325" t="s">
        <v>1226</v>
      </c>
    </row>
    <row r="1326" spans="1:9" x14ac:dyDescent="0.3">
      <c r="A1326" t="s">
        <v>1323</v>
      </c>
      <c r="C1326" t="s">
        <v>914</v>
      </c>
      <c r="E1326" t="s">
        <v>2003</v>
      </c>
      <c r="G1326" t="s">
        <v>1816</v>
      </c>
      <c r="I1326" t="s">
        <v>1503</v>
      </c>
    </row>
    <row r="1327" spans="1:9" x14ac:dyDescent="0.3">
      <c r="A1327" t="s">
        <v>1503</v>
      </c>
      <c r="C1327" t="s">
        <v>89</v>
      </c>
      <c r="E1327" t="e">
        <f>- impianti di sollevamento di persone o di cose per mezzo di</f>
        <v>#NAME?</v>
      </c>
      <c r="G1327" t="s">
        <v>1817</v>
      </c>
    </row>
    <row r="1328" spans="1:9" x14ac:dyDescent="0.3">
      <c r="C1328" t="s">
        <v>915</v>
      </c>
      <c r="E1328" t="s">
        <v>2004</v>
      </c>
      <c r="G1328" t="s">
        <v>1818</v>
      </c>
      <c r="I1328" t="s">
        <v>3193</v>
      </c>
    </row>
    <row r="1329" spans="1:9" x14ac:dyDescent="0.3">
      <c r="A1329" t="s">
        <v>1040</v>
      </c>
      <c r="C1329" t="s">
        <v>916</v>
      </c>
      <c r="E1329" t="s">
        <v>2005</v>
      </c>
      <c r="G1329" t="s">
        <v>1819</v>
      </c>
    </row>
    <row r="1330" spans="1:9" x14ac:dyDescent="0.3">
      <c r="A1330" t="s">
        <v>1041</v>
      </c>
      <c r="C1330" t="s">
        <v>917</v>
      </c>
      <c r="E1330" t="s">
        <v>2006</v>
      </c>
      <c r="G1330" t="s">
        <v>1820</v>
      </c>
      <c r="I1330" t="s">
        <v>953</v>
      </c>
    </row>
    <row r="1331" spans="1:9" x14ac:dyDescent="0.3">
      <c r="A1331" t="s">
        <v>1042</v>
      </c>
      <c r="C1331" t="s">
        <v>918</v>
      </c>
      <c r="E1331" t="s">
        <v>2007</v>
      </c>
      <c r="G1331" t="s">
        <v>1821</v>
      </c>
      <c r="I1331" t="s">
        <v>954</v>
      </c>
    </row>
    <row r="1332" spans="1:9" x14ac:dyDescent="0.3">
      <c r="A1332" t="s">
        <v>1043</v>
      </c>
      <c r="C1332" t="s">
        <v>919</v>
      </c>
      <c r="E1332" t="s">
        <v>2008</v>
      </c>
      <c r="G1332" t="s">
        <v>1822</v>
      </c>
      <c r="I1332" t="s">
        <v>955</v>
      </c>
    </row>
    <row r="1333" spans="1:9" x14ac:dyDescent="0.3">
      <c r="A1333" t="s">
        <v>1044</v>
      </c>
      <c r="C1333" t="s">
        <v>920</v>
      </c>
      <c r="E1333" t="e">
        <f>-  riparazioni di alimentazioni per autoveicoli a combustione</f>
        <v>#NAME?</v>
      </c>
      <c r="G1333" t="s">
        <v>1825</v>
      </c>
      <c r="I1333" t="s">
        <v>956</v>
      </c>
    </row>
    <row r="1334" spans="1:9" x14ac:dyDescent="0.3">
      <c r="A1334" t="s">
        <v>1047</v>
      </c>
      <c r="C1334" t="s">
        <v>921</v>
      </c>
      <c r="E1334" t="s">
        <v>2009</v>
      </c>
      <c r="G1334" t="s">
        <v>1826</v>
      </c>
      <c r="I1334" t="s">
        <v>959</v>
      </c>
    </row>
    <row r="1335" spans="1:9" x14ac:dyDescent="0.3">
      <c r="A1335" t="s">
        <v>1048</v>
      </c>
      <c r="C1335" t="s">
        <v>922</v>
      </c>
      <c r="E1335" t="s">
        <v>2010</v>
      </c>
      <c r="G1335" t="s">
        <v>1827</v>
      </c>
      <c r="I1335" t="s">
        <v>960</v>
      </c>
    </row>
    <row r="1336" spans="1:9" x14ac:dyDescent="0.3">
      <c r="A1336" t="s">
        <v>1049</v>
      </c>
      <c r="C1336" t="s">
        <v>923</v>
      </c>
      <c r="E1336" t="s">
        <v>2011</v>
      </c>
      <c r="G1336" t="s">
        <v>1828</v>
      </c>
      <c r="I1336" t="s">
        <v>961</v>
      </c>
    </row>
    <row r="1337" spans="1:9" x14ac:dyDescent="0.3">
      <c r="A1337" t="s">
        <v>1050</v>
      </c>
      <c r="C1337" t="s">
        <v>924</v>
      </c>
      <c r="E1337">
        <v>2</v>
      </c>
      <c r="G1337" t="s">
        <v>1829</v>
      </c>
      <c r="I1337" t="s">
        <v>1516</v>
      </c>
    </row>
    <row r="1338" spans="1:9" x14ac:dyDescent="0.3">
      <c r="A1338" t="s">
        <v>1051</v>
      </c>
      <c r="C1338" t="s">
        <v>925</v>
      </c>
      <c r="E1338" t="s">
        <v>89</v>
      </c>
      <c r="G1338" t="s">
        <v>1830</v>
      </c>
    </row>
    <row r="1339" spans="1:9" x14ac:dyDescent="0.3">
      <c r="A1339" t="s">
        <v>1052</v>
      </c>
      <c r="C1339" t="s">
        <v>926</v>
      </c>
      <c r="E1339" t="s">
        <v>2012</v>
      </c>
      <c r="G1339" t="s">
        <v>89</v>
      </c>
    </row>
    <row r="1340" spans="1:9" x14ac:dyDescent="0.3">
      <c r="A1340" t="s">
        <v>1053</v>
      </c>
      <c r="C1340" t="s">
        <v>927</v>
      </c>
      <c r="E1340" t="s">
        <v>2013</v>
      </c>
      <c r="G1340" t="s">
        <v>1831</v>
      </c>
      <c r="I1340" t="s">
        <v>1246</v>
      </c>
    </row>
    <row r="1341" spans="1:9" x14ac:dyDescent="0.3">
      <c r="A1341" t="s">
        <v>1054</v>
      </c>
      <c r="C1341" t="s">
        <v>928</v>
      </c>
      <c r="E1341" t="s">
        <v>2014</v>
      </c>
      <c r="G1341" t="s">
        <v>1832</v>
      </c>
      <c r="I1341" t="s">
        <v>1503</v>
      </c>
    </row>
    <row r="1342" spans="1:9" x14ac:dyDescent="0.3">
      <c r="A1342" t="s">
        <v>1055</v>
      </c>
      <c r="C1342" t="s">
        <v>929</v>
      </c>
      <c r="E1342" t="s">
        <v>2015</v>
      </c>
      <c r="G1342" t="s">
        <v>1833</v>
      </c>
    </row>
    <row r="1343" spans="1:9" x14ac:dyDescent="0.3">
      <c r="A1343" t="s">
        <v>1056</v>
      </c>
      <c r="C1343" t="s">
        <v>930</v>
      </c>
      <c r="G1343" t="s">
        <v>3963</v>
      </c>
      <c r="I1343" t="s">
        <v>3194</v>
      </c>
    </row>
    <row r="1344" spans="1:9" x14ac:dyDescent="0.3">
      <c r="A1344" t="s">
        <v>1520</v>
      </c>
      <c r="C1344" t="s">
        <v>931</v>
      </c>
    </row>
    <row r="1345" spans="1:9" x14ac:dyDescent="0.3">
      <c r="C1345" t="s">
        <v>932</v>
      </c>
      <c r="E1345" t="s">
        <v>1246</v>
      </c>
      <c r="I1345" t="s">
        <v>963</v>
      </c>
    </row>
    <row r="1346" spans="1:9" x14ac:dyDescent="0.3">
      <c r="E1346" t="s">
        <v>1911</v>
      </c>
      <c r="G1346" t="s">
        <v>780</v>
      </c>
      <c r="I1346" t="s">
        <v>964</v>
      </c>
    </row>
    <row r="1347" spans="1:9" x14ac:dyDescent="0.3">
      <c r="A1347" t="s">
        <v>1333</v>
      </c>
      <c r="G1347" t="s">
        <v>1554</v>
      </c>
      <c r="I1347" t="s">
        <v>965</v>
      </c>
    </row>
    <row r="1348" spans="1:9" x14ac:dyDescent="0.3">
      <c r="A1348" t="s">
        <v>1503</v>
      </c>
      <c r="C1348" t="s">
        <v>933</v>
      </c>
      <c r="E1348" t="s">
        <v>3194</v>
      </c>
      <c r="I1348" t="s">
        <v>966</v>
      </c>
    </row>
    <row r="1349" spans="1:9" x14ac:dyDescent="0.3">
      <c r="C1349" t="s">
        <v>1503</v>
      </c>
      <c r="G1349" t="s">
        <v>3173</v>
      </c>
      <c r="I1349" t="s">
        <v>967</v>
      </c>
    </row>
    <row r="1350" spans="1:9" x14ac:dyDescent="0.3">
      <c r="A1350" t="s">
        <v>1058</v>
      </c>
      <c r="E1350" t="s">
        <v>2009</v>
      </c>
      <c r="I1350" t="s">
        <v>968</v>
      </c>
    </row>
    <row r="1351" spans="1:9" x14ac:dyDescent="0.3">
      <c r="A1351" t="s">
        <v>1059</v>
      </c>
      <c r="C1351" t="s">
        <v>3180</v>
      </c>
      <c r="E1351" t="s">
        <v>2010</v>
      </c>
      <c r="G1351" t="s">
        <v>1832</v>
      </c>
      <c r="I1351" t="s">
        <v>969</v>
      </c>
    </row>
    <row r="1352" spans="1:9" x14ac:dyDescent="0.3">
      <c r="A1352" t="s">
        <v>1060</v>
      </c>
      <c r="E1352" t="s">
        <v>2011</v>
      </c>
      <c r="G1352" t="s">
        <v>1833</v>
      </c>
      <c r="I1352" t="s">
        <v>970</v>
      </c>
    </row>
    <row r="1353" spans="1:9" x14ac:dyDescent="0.3">
      <c r="A1353" t="s">
        <v>1061</v>
      </c>
      <c r="C1353" t="s">
        <v>926</v>
      </c>
      <c r="E1353">
        <v>2</v>
      </c>
      <c r="G1353" t="s">
        <v>1834</v>
      </c>
      <c r="I1353" t="s">
        <v>971</v>
      </c>
    </row>
    <row r="1354" spans="1:9" x14ac:dyDescent="0.3">
      <c r="A1354" t="s">
        <v>1062</v>
      </c>
      <c r="C1354" t="s">
        <v>927</v>
      </c>
      <c r="E1354" t="s">
        <v>89</v>
      </c>
      <c r="G1354" t="s">
        <v>1835</v>
      </c>
      <c r="I1354" t="s">
        <v>972</v>
      </c>
    </row>
    <row r="1355" spans="1:9" x14ac:dyDescent="0.3">
      <c r="A1355" t="s">
        <v>1063</v>
      </c>
      <c r="C1355" t="s">
        <v>928</v>
      </c>
      <c r="E1355" t="s">
        <v>2012</v>
      </c>
      <c r="G1355" t="s">
        <v>1836</v>
      </c>
      <c r="I1355" t="s">
        <v>973</v>
      </c>
    </row>
    <row r="1356" spans="1:9" x14ac:dyDescent="0.3">
      <c r="A1356" t="s">
        <v>1064</v>
      </c>
      <c r="C1356" t="s">
        <v>929</v>
      </c>
      <c r="E1356" t="s">
        <v>2013</v>
      </c>
      <c r="G1356" t="s">
        <v>1837</v>
      </c>
      <c r="I1356" t="s">
        <v>89</v>
      </c>
    </row>
    <row r="1357" spans="1:9" x14ac:dyDescent="0.3">
      <c r="A1357" t="s">
        <v>1065</v>
      </c>
      <c r="C1357" t="s">
        <v>930</v>
      </c>
      <c r="E1357" t="s">
        <v>2014</v>
      </c>
      <c r="G1357" t="s">
        <v>1838</v>
      </c>
      <c r="I1357" t="s">
        <v>974</v>
      </c>
    </row>
    <row r="1358" spans="1:9" x14ac:dyDescent="0.3">
      <c r="A1358" t="s">
        <v>1066</v>
      </c>
      <c r="C1358" t="s">
        <v>931</v>
      </c>
      <c r="E1358" t="s">
        <v>2017</v>
      </c>
      <c r="G1358" t="s">
        <v>1839</v>
      </c>
      <c r="I1358" t="s">
        <v>975</v>
      </c>
    </row>
    <row r="1359" spans="1:9" x14ac:dyDescent="0.3">
      <c r="A1359" t="s">
        <v>1067</v>
      </c>
      <c r="C1359" t="s">
        <v>934</v>
      </c>
      <c r="E1359" t="s">
        <v>2018</v>
      </c>
      <c r="G1359" t="s">
        <v>1840</v>
      </c>
      <c r="I1359" t="s">
        <v>976</v>
      </c>
    </row>
    <row r="1360" spans="1:9" x14ac:dyDescent="0.3">
      <c r="A1360" t="s">
        <v>1070</v>
      </c>
      <c r="C1360" t="s">
        <v>935</v>
      </c>
      <c r="E1360" t="s">
        <v>2019</v>
      </c>
      <c r="G1360" t="s">
        <v>1842</v>
      </c>
      <c r="I1360" t="s">
        <v>977</v>
      </c>
    </row>
    <row r="1361" spans="1:9" x14ac:dyDescent="0.3">
      <c r="A1361" t="s">
        <v>1071</v>
      </c>
      <c r="C1361" t="s">
        <v>936</v>
      </c>
      <c r="E1361" t="s">
        <v>2020</v>
      </c>
      <c r="G1361" t="s">
        <v>1843</v>
      </c>
      <c r="I1361" t="s">
        <v>978</v>
      </c>
    </row>
    <row r="1362" spans="1:9" x14ac:dyDescent="0.3">
      <c r="A1362" t="s">
        <v>1072</v>
      </c>
      <c r="C1362" t="s">
        <v>937</v>
      </c>
      <c r="E1362" t="s">
        <v>2021</v>
      </c>
      <c r="G1362" t="s">
        <v>1844</v>
      </c>
    </row>
    <row r="1363" spans="1:9" x14ac:dyDescent="0.3">
      <c r="A1363" t="s">
        <v>1073</v>
      </c>
      <c r="C1363" t="s">
        <v>938</v>
      </c>
      <c r="E1363" t="s">
        <v>2022</v>
      </c>
      <c r="G1363" t="s">
        <v>1845</v>
      </c>
    </row>
    <row r="1364" spans="1:9" x14ac:dyDescent="0.3">
      <c r="A1364" t="s">
        <v>1074</v>
      </c>
      <c r="C1364" t="s">
        <v>939</v>
      </c>
      <c r="E1364" t="s">
        <v>2023</v>
      </c>
      <c r="G1364" t="s">
        <v>1846</v>
      </c>
      <c r="I1364" t="s">
        <v>1268</v>
      </c>
    </row>
    <row r="1365" spans="1:9" x14ac:dyDescent="0.3">
      <c r="A1365" t="s">
        <v>1521</v>
      </c>
      <c r="C1365" t="s">
        <v>940</v>
      </c>
      <c r="E1365" t="s">
        <v>2024</v>
      </c>
      <c r="G1365" t="s">
        <v>1847</v>
      </c>
      <c r="I1365" t="s">
        <v>1503</v>
      </c>
    </row>
    <row r="1366" spans="1:9" x14ac:dyDescent="0.3">
      <c r="C1366" t="s">
        <v>941</v>
      </c>
      <c r="E1366" t="s">
        <v>2025</v>
      </c>
      <c r="G1366" t="s">
        <v>1848</v>
      </c>
    </row>
    <row r="1367" spans="1:9" x14ac:dyDescent="0.3">
      <c r="C1367" t="s">
        <v>942</v>
      </c>
      <c r="E1367" t="s">
        <v>3576</v>
      </c>
      <c r="G1367" t="s">
        <v>1849</v>
      </c>
      <c r="I1367" t="s">
        <v>3195</v>
      </c>
    </row>
    <row r="1368" spans="1:9" x14ac:dyDescent="0.3">
      <c r="A1368" t="s">
        <v>1522</v>
      </c>
      <c r="C1368" t="s">
        <v>943</v>
      </c>
      <c r="G1368" t="s">
        <v>1850</v>
      </c>
    </row>
    <row r="1369" spans="1:9" x14ac:dyDescent="0.3">
      <c r="A1369" t="s">
        <v>1503</v>
      </c>
      <c r="C1369" t="s">
        <v>944</v>
      </c>
      <c r="G1369" t="s">
        <v>1851</v>
      </c>
      <c r="I1369" t="s">
        <v>981</v>
      </c>
    </row>
    <row r="1370" spans="1:9" x14ac:dyDescent="0.3">
      <c r="C1370" t="s">
        <v>945</v>
      </c>
      <c r="E1370" t="s">
        <v>1268</v>
      </c>
      <c r="G1370" t="s">
        <v>1852</v>
      </c>
      <c r="I1370" t="s">
        <v>982</v>
      </c>
    </row>
    <row r="1371" spans="1:9" x14ac:dyDescent="0.3">
      <c r="A1371" t="s">
        <v>1076</v>
      </c>
      <c r="C1371" t="s">
        <v>946</v>
      </c>
      <c r="E1371" t="s">
        <v>1911</v>
      </c>
      <c r="G1371" t="s">
        <v>1853</v>
      </c>
      <c r="I1371" t="s">
        <v>983</v>
      </c>
    </row>
    <row r="1372" spans="1:9" x14ac:dyDescent="0.3">
      <c r="A1372" t="s">
        <v>1077</v>
      </c>
      <c r="C1372" t="s">
        <v>947</v>
      </c>
      <c r="G1372" t="s">
        <v>1854</v>
      </c>
      <c r="I1372" t="s">
        <v>984</v>
      </c>
    </row>
    <row r="1373" spans="1:9" x14ac:dyDescent="0.3">
      <c r="A1373" t="s">
        <v>1078</v>
      </c>
      <c r="C1373" t="s">
        <v>948</v>
      </c>
      <c r="E1373" t="s">
        <v>3195</v>
      </c>
      <c r="G1373" t="s">
        <v>3964</v>
      </c>
      <c r="I1373" t="s">
        <v>985</v>
      </c>
    </row>
    <row r="1374" spans="1:9" x14ac:dyDescent="0.3">
      <c r="A1374" t="s">
        <v>1079</v>
      </c>
      <c r="C1374" t="s">
        <v>949</v>
      </c>
      <c r="I1374" t="s">
        <v>986</v>
      </c>
    </row>
    <row r="1375" spans="1:9" x14ac:dyDescent="0.3">
      <c r="A1375" t="s">
        <v>1080</v>
      </c>
      <c r="C1375" t="s">
        <v>950</v>
      </c>
      <c r="E1375" t="s">
        <v>2027</v>
      </c>
      <c r="I1375" t="s">
        <v>987</v>
      </c>
    </row>
    <row r="1376" spans="1:9" x14ac:dyDescent="0.3">
      <c r="A1376" t="s">
        <v>1081</v>
      </c>
      <c r="C1376" t="s">
        <v>951</v>
      </c>
      <c r="E1376" t="s">
        <v>2028</v>
      </c>
      <c r="G1376" t="s">
        <v>803</v>
      </c>
      <c r="I1376" t="s">
        <v>988</v>
      </c>
    </row>
    <row r="1377" spans="1:9" x14ac:dyDescent="0.3">
      <c r="A1377" t="s">
        <v>1082</v>
      </c>
      <c r="C1377" t="s">
        <v>952</v>
      </c>
      <c r="E1377" t="s">
        <v>2029</v>
      </c>
      <c r="G1377" t="s">
        <v>1554</v>
      </c>
      <c r="I1377" t="s">
        <v>989</v>
      </c>
    </row>
    <row r="1378" spans="1:9" x14ac:dyDescent="0.3">
      <c r="A1378" t="s">
        <v>1083</v>
      </c>
      <c r="C1378" t="s">
        <v>953</v>
      </c>
      <c r="E1378" t="s">
        <v>2030</v>
      </c>
      <c r="I1378" t="s">
        <v>990</v>
      </c>
    </row>
    <row r="1379" spans="1:9" x14ac:dyDescent="0.3">
      <c r="A1379" t="s">
        <v>1084</v>
      </c>
      <c r="C1379" t="s">
        <v>954</v>
      </c>
      <c r="E1379" t="s">
        <v>2031</v>
      </c>
      <c r="G1379" t="s">
        <v>3174</v>
      </c>
      <c r="I1379" t="s">
        <v>991</v>
      </c>
    </row>
    <row r="1380" spans="1:9" x14ac:dyDescent="0.3">
      <c r="A1380" t="s">
        <v>1085</v>
      </c>
      <c r="C1380" t="s">
        <v>955</v>
      </c>
      <c r="E1380" t="s">
        <v>2032</v>
      </c>
      <c r="I1380" t="s">
        <v>992</v>
      </c>
    </row>
    <row r="1381" spans="1:9" x14ac:dyDescent="0.3">
      <c r="A1381" t="s">
        <v>1086</v>
      </c>
      <c r="C1381" t="s">
        <v>956</v>
      </c>
      <c r="E1381" t="s">
        <v>2029</v>
      </c>
      <c r="G1381" t="s">
        <v>1851</v>
      </c>
      <c r="I1381" t="s">
        <v>993</v>
      </c>
    </row>
    <row r="1382" spans="1:9" x14ac:dyDescent="0.3">
      <c r="A1382" t="s">
        <v>1087</v>
      </c>
      <c r="C1382" t="s">
        <v>957</v>
      </c>
      <c r="E1382" t="s">
        <v>2033</v>
      </c>
      <c r="G1382" t="s">
        <v>1852</v>
      </c>
      <c r="I1382" t="s">
        <v>994</v>
      </c>
    </row>
    <row r="1383" spans="1:9" x14ac:dyDescent="0.3">
      <c r="A1383" t="s">
        <v>1088</v>
      </c>
      <c r="E1383" t="s">
        <v>2034</v>
      </c>
      <c r="G1383" t="s">
        <v>1853</v>
      </c>
      <c r="I1383" t="s">
        <v>995</v>
      </c>
    </row>
    <row r="1384" spans="1:9" x14ac:dyDescent="0.3">
      <c r="A1384" t="s">
        <v>1089</v>
      </c>
      <c r="E1384" t="s">
        <v>2035</v>
      </c>
      <c r="G1384" t="s">
        <v>1854</v>
      </c>
      <c r="I1384" t="s">
        <v>996</v>
      </c>
    </row>
    <row r="1385" spans="1:9" x14ac:dyDescent="0.3">
      <c r="A1385" t="s">
        <v>1523</v>
      </c>
      <c r="C1385" t="s">
        <v>958</v>
      </c>
      <c r="E1385" t="s">
        <v>2029</v>
      </c>
      <c r="G1385" t="s">
        <v>1855</v>
      </c>
      <c r="I1385" t="s">
        <v>997</v>
      </c>
    </row>
    <row r="1386" spans="1:9" x14ac:dyDescent="0.3">
      <c r="C1386" t="s">
        <v>1503</v>
      </c>
      <c r="E1386" t="s">
        <v>2036</v>
      </c>
      <c r="G1386" t="s">
        <v>1856</v>
      </c>
      <c r="I1386" t="s">
        <v>998</v>
      </c>
    </row>
    <row r="1387" spans="1:9" x14ac:dyDescent="0.3">
      <c r="E1387" t="s">
        <v>2037</v>
      </c>
      <c r="G1387" t="s">
        <v>1857</v>
      </c>
      <c r="I1387" t="s">
        <v>1001</v>
      </c>
    </row>
    <row r="1388" spans="1:9" x14ac:dyDescent="0.3">
      <c r="A1388" t="s">
        <v>1524</v>
      </c>
      <c r="C1388" t="s">
        <v>3181</v>
      </c>
      <c r="E1388" t="s">
        <v>2038</v>
      </c>
      <c r="G1388" t="s">
        <v>1858</v>
      </c>
      <c r="I1388" t="s">
        <v>1002</v>
      </c>
    </row>
    <row r="1389" spans="1:9" x14ac:dyDescent="0.3">
      <c r="A1389" t="s">
        <v>1503</v>
      </c>
      <c r="E1389" t="s">
        <v>2035</v>
      </c>
      <c r="G1389" t="s">
        <v>1861</v>
      </c>
      <c r="I1389" t="s">
        <v>1517</v>
      </c>
    </row>
    <row r="1390" spans="1:9" x14ac:dyDescent="0.3">
      <c r="C1390" t="s">
        <v>951</v>
      </c>
      <c r="E1390" t="s">
        <v>2039</v>
      </c>
      <c r="G1390" t="s">
        <v>1862</v>
      </c>
    </row>
    <row r="1391" spans="1:9" x14ac:dyDescent="0.3">
      <c r="A1391" t="s">
        <v>1091</v>
      </c>
      <c r="C1391" t="s">
        <v>952</v>
      </c>
      <c r="E1391" t="s">
        <v>2040</v>
      </c>
      <c r="G1391" t="s">
        <v>1863</v>
      </c>
    </row>
    <row r="1392" spans="1:9" x14ac:dyDescent="0.3">
      <c r="A1392" t="s">
        <v>1094</v>
      </c>
      <c r="C1392" t="s">
        <v>953</v>
      </c>
      <c r="E1392" t="s">
        <v>2041</v>
      </c>
      <c r="G1392" t="s">
        <v>3424</v>
      </c>
      <c r="I1392" t="s">
        <v>1291</v>
      </c>
    </row>
    <row r="1393" spans="1:9" x14ac:dyDescent="0.3">
      <c r="A1393" t="s">
        <v>89</v>
      </c>
      <c r="C1393" t="s">
        <v>954</v>
      </c>
      <c r="E1393" t="s">
        <v>2042</v>
      </c>
      <c r="G1393" t="s">
        <v>1866</v>
      </c>
      <c r="I1393" t="s">
        <v>1503</v>
      </c>
    </row>
    <row r="1394" spans="1:9" x14ac:dyDescent="0.3">
      <c r="A1394" t="s">
        <v>1095</v>
      </c>
      <c r="C1394" t="s">
        <v>955</v>
      </c>
      <c r="E1394" t="s">
        <v>2043</v>
      </c>
      <c r="G1394" t="s">
        <v>1867</v>
      </c>
    </row>
    <row r="1395" spans="1:9" x14ac:dyDescent="0.3">
      <c r="A1395" t="s">
        <v>1096</v>
      </c>
      <c r="C1395" t="s">
        <v>956</v>
      </c>
      <c r="E1395" t="s">
        <v>2044</v>
      </c>
      <c r="G1395" t="s">
        <v>1868</v>
      </c>
      <c r="I1395" t="s">
        <v>3196</v>
      </c>
    </row>
    <row r="1396" spans="1:9" x14ac:dyDescent="0.3">
      <c r="A1396" t="s">
        <v>1097</v>
      </c>
      <c r="C1396" t="s">
        <v>959</v>
      </c>
      <c r="E1396" t="s">
        <v>2046</v>
      </c>
      <c r="G1396" t="s">
        <v>1869</v>
      </c>
    </row>
    <row r="1397" spans="1:9" x14ac:dyDescent="0.3">
      <c r="A1397" t="s">
        <v>1098</v>
      </c>
      <c r="C1397" t="s">
        <v>960</v>
      </c>
      <c r="E1397" t="s">
        <v>2047</v>
      </c>
      <c r="G1397" t="s">
        <v>3425</v>
      </c>
      <c r="I1397" t="s">
        <v>1004</v>
      </c>
    </row>
    <row r="1398" spans="1:9" x14ac:dyDescent="0.3">
      <c r="A1398" t="s">
        <v>1099</v>
      </c>
      <c r="C1398" t="s">
        <v>961</v>
      </c>
      <c r="E1398" t="s">
        <v>2048</v>
      </c>
      <c r="G1398" t="s">
        <v>1872</v>
      </c>
      <c r="I1398" t="s">
        <v>1005</v>
      </c>
    </row>
    <row r="1399" spans="1:9" x14ac:dyDescent="0.3">
      <c r="A1399" t="s">
        <v>1100</v>
      </c>
      <c r="C1399" t="s">
        <v>962</v>
      </c>
      <c r="E1399" t="s">
        <v>2049</v>
      </c>
      <c r="G1399" t="s">
        <v>89</v>
      </c>
      <c r="I1399" t="s">
        <v>1006</v>
      </c>
    </row>
    <row r="1400" spans="1:9" x14ac:dyDescent="0.3">
      <c r="A1400" t="s">
        <v>1101</v>
      </c>
      <c r="C1400" t="s">
        <v>963</v>
      </c>
      <c r="E1400" t="s">
        <v>2050</v>
      </c>
      <c r="G1400" t="s">
        <v>1873</v>
      </c>
      <c r="I1400" t="s">
        <v>1518</v>
      </c>
    </row>
    <row r="1401" spans="1:9" x14ac:dyDescent="0.3">
      <c r="A1401" t="s">
        <v>1102</v>
      </c>
      <c r="C1401" t="s">
        <v>964</v>
      </c>
      <c r="E1401" t="s">
        <v>2051</v>
      </c>
      <c r="G1401" t="s">
        <v>1874</v>
      </c>
    </row>
    <row r="1402" spans="1:9" x14ac:dyDescent="0.3">
      <c r="A1402" t="s">
        <v>1103</v>
      </c>
      <c r="C1402" t="s">
        <v>965</v>
      </c>
      <c r="E1402" t="s">
        <v>2052</v>
      </c>
      <c r="G1402" t="s">
        <v>1875</v>
      </c>
    </row>
    <row r="1403" spans="1:9" x14ac:dyDescent="0.3">
      <c r="A1403" t="s">
        <v>1104</v>
      </c>
      <c r="C1403" t="s">
        <v>966</v>
      </c>
      <c r="E1403" t="s">
        <v>2053</v>
      </c>
      <c r="G1403" t="s">
        <v>1876</v>
      </c>
      <c r="I1403" t="s">
        <v>1302</v>
      </c>
    </row>
    <row r="1404" spans="1:9" x14ac:dyDescent="0.3">
      <c r="A1404" t="s">
        <v>1105</v>
      </c>
      <c r="C1404" t="s">
        <v>967</v>
      </c>
      <c r="E1404" t="s">
        <v>2054</v>
      </c>
      <c r="G1404" t="s">
        <v>1877</v>
      </c>
      <c r="I1404" t="s">
        <v>1503</v>
      </c>
    </row>
    <row r="1405" spans="1:9" x14ac:dyDescent="0.3">
      <c r="A1405" t="s">
        <v>1106</v>
      </c>
      <c r="C1405" t="s">
        <v>968</v>
      </c>
      <c r="E1405" t="s">
        <v>2055</v>
      </c>
      <c r="G1405" t="s">
        <v>1878</v>
      </c>
    </row>
    <row r="1406" spans="1:9" x14ac:dyDescent="0.3">
      <c r="A1406" t="s">
        <v>1107</v>
      </c>
      <c r="C1406" t="s">
        <v>969</v>
      </c>
      <c r="E1406" t="s">
        <v>2056</v>
      </c>
      <c r="I1406" t="s">
        <v>3197</v>
      </c>
    </row>
    <row r="1407" spans="1:9" x14ac:dyDescent="0.3">
      <c r="A1407" t="s">
        <v>1108</v>
      </c>
      <c r="C1407" t="s">
        <v>970</v>
      </c>
      <c r="E1407" t="s">
        <v>2057</v>
      </c>
    </row>
    <row r="1408" spans="1:9" x14ac:dyDescent="0.3">
      <c r="A1408" t="s">
        <v>1109</v>
      </c>
      <c r="C1408" t="s">
        <v>971</v>
      </c>
      <c r="E1408" t="s">
        <v>3577</v>
      </c>
      <c r="G1408" t="s">
        <v>823</v>
      </c>
      <c r="I1408" t="s">
        <v>1008</v>
      </c>
    </row>
    <row r="1409" spans="1:9" x14ac:dyDescent="0.3">
      <c r="A1409" t="s">
        <v>1110</v>
      </c>
      <c r="C1409" t="s">
        <v>972</v>
      </c>
      <c r="G1409" t="s">
        <v>1554</v>
      </c>
      <c r="I1409" t="s">
        <v>1009</v>
      </c>
    </row>
    <row r="1410" spans="1:9" x14ac:dyDescent="0.3">
      <c r="A1410" t="s">
        <v>1111</v>
      </c>
      <c r="C1410" t="s">
        <v>973</v>
      </c>
      <c r="I1410" t="s">
        <v>1010</v>
      </c>
    </row>
    <row r="1411" spans="1:9" x14ac:dyDescent="0.3">
      <c r="A1411" t="s">
        <v>1112</v>
      </c>
      <c r="C1411" t="s">
        <v>89</v>
      </c>
      <c r="E1411" t="s">
        <v>1291</v>
      </c>
      <c r="G1411" t="s">
        <v>3175</v>
      </c>
      <c r="I1411" t="s">
        <v>1011</v>
      </c>
    </row>
    <row r="1412" spans="1:9" x14ac:dyDescent="0.3">
      <c r="A1412" t="s">
        <v>1115</v>
      </c>
      <c r="C1412" t="s">
        <v>974</v>
      </c>
      <c r="E1412" t="s">
        <v>1911</v>
      </c>
      <c r="I1412" t="s">
        <v>1012</v>
      </c>
    </row>
    <row r="1413" spans="1:9" x14ac:dyDescent="0.3">
      <c r="A1413" t="s">
        <v>1116</v>
      </c>
      <c r="C1413" t="s">
        <v>975</v>
      </c>
      <c r="G1413" t="s">
        <v>1875</v>
      </c>
      <c r="I1413" t="s">
        <v>1013</v>
      </c>
    </row>
    <row r="1414" spans="1:9" x14ac:dyDescent="0.3">
      <c r="A1414" t="s">
        <v>1117</v>
      </c>
      <c r="C1414" t="s">
        <v>976</v>
      </c>
      <c r="E1414" t="s">
        <v>3196</v>
      </c>
      <c r="G1414" t="s">
        <v>1876</v>
      </c>
      <c r="I1414" t="s">
        <v>1014</v>
      </c>
    </row>
    <row r="1415" spans="1:9" x14ac:dyDescent="0.3">
      <c r="A1415" t="s">
        <v>1118</v>
      </c>
      <c r="C1415" t="s">
        <v>977</v>
      </c>
      <c r="G1415" t="s">
        <v>1877</v>
      </c>
      <c r="I1415" t="s">
        <v>1015</v>
      </c>
    </row>
    <row r="1416" spans="1:9" x14ac:dyDescent="0.3">
      <c r="A1416" t="s">
        <v>1119</v>
      </c>
      <c r="C1416" t="s">
        <v>978</v>
      </c>
      <c r="E1416" t="s">
        <v>2059</v>
      </c>
      <c r="G1416" t="s">
        <v>1878</v>
      </c>
      <c r="I1416" t="s">
        <v>1016</v>
      </c>
    </row>
    <row r="1417" spans="1:9" x14ac:dyDescent="0.3">
      <c r="A1417" t="s">
        <v>1120</v>
      </c>
      <c r="E1417" t="s">
        <v>2060</v>
      </c>
      <c r="G1417" t="s">
        <v>1879</v>
      </c>
      <c r="I1417" t="s">
        <v>1017</v>
      </c>
    </row>
    <row r="1418" spans="1:9" x14ac:dyDescent="0.3">
      <c r="A1418" t="s">
        <v>1525</v>
      </c>
      <c r="E1418" t="s">
        <v>3578</v>
      </c>
      <c r="G1418" t="s">
        <v>3427</v>
      </c>
      <c r="I1418" t="s">
        <v>1018</v>
      </c>
    </row>
    <row r="1419" spans="1:9" x14ac:dyDescent="0.3">
      <c r="C1419" t="s">
        <v>979</v>
      </c>
      <c r="E1419" t="s">
        <v>89</v>
      </c>
      <c r="G1419" t="s">
        <v>1882</v>
      </c>
      <c r="I1419" t="s">
        <v>1019</v>
      </c>
    </row>
    <row r="1420" spans="1:9" x14ac:dyDescent="0.3">
      <c r="C1420" t="s">
        <v>1503</v>
      </c>
      <c r="E1420" t="s">
        <v>2062</v>
      </c>
      <c r="G1420" t="s">
        <v>1883</v>
      </c>
      <c r="I1420" t="s">
        <v>1020</v>
      </c>
    </row>
    <row r="1421" spans="1:9" x14ac:dyDescent="0.3">
      <c r="A1421" t="s">
        <v>1526</v>
      </c>
      <c r="E1421" t="s">
        <v>2063</v>
      </c>
      <c r="G1421" t="s">
        <v>1884</v>
      </c>
      <c r="I1421" t="s">
        <v>1023</v>
      </c>
    </row>
    <row r="1422" spans="1:9" x14ac:dyDescent="0.3">
      <c r="A1422" t="s">
        <v>1503</v>
      </c>
      <c r="C1422" t="s">
        <v>3182</v>
      </c>
      <c r="E1422" t="s">
        <v>2064</v>
      </c>
      <c r="G1422" t="s">
        <v>1885</v>
      </c>
      <c r="I1422" t="s">
        <v>1024</v>
      </c>
    </row>
    <row r="1423" spans="1:9" x14ac:dyDescent="0.3">
      <c r="E1423" t="s">
        <v>2065</v>
      </c>
      <c r="G1423" t="s">
        <v>3428</v>
      </c>
      <c r="I1423" t="s">
        <v>1025</v>
      </c>
    </row>
    <row r="1424" spans="1:9" x14ac:dyDescent="0.3">
      <c r="A1424" t="s">
        <v>1122</v>
      </c>
      <c r="C1424" t="s">
        <v>89</v>
      </c>
      <c r="E1424" t="s">
        <v>2066</v>
      </c>
      <c r="G1424" t="s">
        <v>1888</v>
      </c>
      <c r="I1424" t="s">
        <v>1026</v>
      </c>
    </row>
    <row r="1425" spans="1:9" x14ac:dyDescent="0.3">
      <c r="A1425" t="s">
        <v>1123</v>
      </c>
      <c r="C1425" t="s">
        <v>974</v>
      </c>
      <c r="E1425" t="s">
        <v>2067</v>
      </c>
      <c r="G1425" t="s">
        <v>1889</v>
      </c>
      <c r="I1425" t="s">
        <v>1027</v>
      </c>
    </row>
    <row r="1426" spans="1:9" x14ac:dyDescent="0.3">
      <c r="A1426" t="s">
        <v>1124</v>
      </c>
      <c r="C1426" t="s">
        <v>975</v>
      </c>
      <c r="E1426" t="s">
        <v>2068</v>
      </c>
      <c r="G1426" t="s">
        <v>1890</v>
      </c>
      <c r="I1426" t="s">
        <v>1028</v>
      </c>
    </row>
    <row r="1427" spans="1:9" x14ac:dyDescent="0.3">
      <c r="A1427" t="s">
        <v>1125</v>
      </c>
      <c r="C1427" t="s">
        <v>976</v>
      </c>
      <c r="E1427" t="s">
        <v>2069</v>
      </c>
      <c r="G1427" t="s">
        <v>3429</v>
      </c>
      <c r="I1427" t="s">
        <v>1029</v>
      </c>
    </row>
    <row r="1428" spans="1:9" x14ac:dyDescent="0.3">
      <c r="A1428" t="s">
        <v>1126</v>
      </c>
      <c r="C1428" t="s">
        <v>977</v>
      </c>
      <c r="E1428" t="s">
        <v>3579</v>
      </c>
      <c r="G1428" t="s">
        <v>1893</v>
      </c>
      <c r="I1428" t="s">
        <v>1030</v>
      </c>
    </row>
    <row r="1429" spans="1:9" x14ac:dyDescent="0.3">
      <c r="A1429" t="s">
        <v>1127</v>
      </c>
      <c r="C1429" t="s">
        <v>980</v>
      </c>
      <c r="E1429" t="s">
        <v>2073</v>
      </c>
      <c r="G1429" t="s">
        <v>1894</v>
      </c>
      <c r="I1429" t="s">
        <v>614</v>
      </c>
    </row>
    <row r="1430" spans="1:9" x14ac:dyDescent="0.3">
      <c r="A1430" t="s">
        <v>1128</v>
      </c>
      <c r="C1430" t="s">
        <v>981</v>
      </c>
      <c r="E1430" t="s">
        <v>2074</v>
      </c>
      <c r="G1430" t="s">
        <v>1895</v>
      </c>
      <c r="I1430" t="s">
        <v>1031</v>
      </c>
    </row>
    <row r="1431" spans="1:9" x14ac:dyDescent="0.3">
      <c r="A1431" t="s">
        <v>1129</v>
      </c>
      <c r="C1431" t="s">
        <v>982</v>
      </c>
      <c r="E1431" t="s">
        <v>3580</v>
      </c>
      <c r="G1431" t="s">
        <v>3430</v>
      </c>
      <c r="I1431" t="s">
        <v>1032</v>
      </c>
    </row>
    <row r="1432" spans="1:9" x14ac:dyDescent="0.3">
      <c r="A1432" t="s">
        <v>1130</v>
      </c>
      <c r="C1432" t="s">
        <v>983</v>
      </c>
      <c r="E1432" t="s">
        <v>2076</v>
      </c>
      <c r="G1432" t="s">
        <v>1898</v>
      </c>
      <c r="I1432" t="s">
        <v>1033</v>
      </c>
    </row>
    <row r="1433" spans="1:9" x14ac:dyDescent="0.3">
      <c r="A1433" t="s">
        <v>1131</v>
      </c>
      <c r="C1433" t="s">
        <v>984</v>
      </c>
      <c r="E1433" t="s">
        <v>2077</v>
      </c>
      <c r="G1433" t="s">
        <v>1899</v>
      </c>
      <c r="I1433" t="s">
        <v>89</v>
      </c>
    </row>
    <row r="1434" spans="1:9" x14ac:dyDescent="0.3">
      <c r="A1434" t="s">
        <v>1132</v>
      </c>
      <c r="C1434" t="s">
        <v>985</v>
      </c>
      <c r="E1434" t="s">
        <v>2078</v>
      </c>
      <c r="G1434" t="s">
        <v>1900</v>
      </c>
      <c r="I1434" t="s">
        <v>1034</v>
      </c>
    </row>
    <row r="1435" spans="1:9" x14ac:dyDescent="0.3">
      <c r="A1435" t="s">
        <v>1133</v>
      </c>
      <c r="C1435" t="s">
        <v>986</v>
      </c>
      <c r="E1435" t="s">
        <v>2079</v>
      </c>
      <c r="G1435" t="s">
        <v>1901</v>
      </c>
      <c r="I1435" t="s">
        <v>1035</v>
      </c>
    </row>
    <row r="1436" spans="1:9" x14ac:dyDescent="0.3">
      <c r="A1436" t="s">
        <v>1134</v>
      </c>
      <c r="C1436" t="s">
        <v>987</v>
      </c>
      <c r="E1436" t="s">
        <v>2080</v>
      </c>
      <c r="G1436" t="s">
        <v>1902</v>
      </c>
      <c r="I1436" t="s">
        <v>1036</v>
      </c>
    </row>
    <row r="1437" spans="1:9" x14ac:dyDescent="0.3">
      <c r="A1437" t="s">
        <v>1135</v>
      </c>
      <c r="C1437" t="s">
        <v>988</v>
      </c>
      <c r="E1437" t="s">
        <v>2081</v>
      </c>
      <c r="G1437" t="s">
        <v>1903</v>
      </c>
      <c r="I1437" t="s">
        <v>1037</v>
      </c>
    </row>
    <row r="1438" spans="1:9" x14ac:dyDescent="0.3">
      <c r="A1438" t="s">
        <v>1138</v>
      </c>
      <c r="C1438" t="s">
        <v>989</v>
      </c>
      <c r="E1438" t="s">
        <v>2082</v>
      </c>
      <c r="G1438" t="s">
        <v>1904</v>
      </c>
      <c r="I1438" t="s">
        <v>1038</v>
      </c>
    </row>
    <row r="1439" spans="1:9" x14ac:dyDescent="0.3">
      <c r="A1439" t="s">
        <v>1139</v>
      </c>
      <c r="C1439" t="s">
        <v>990</v>
      </c>
      <c r="E1439" t="s">
        <v>3581</v>
      </c>
      <c r="G1439" t="s">
        <v>1905</v>
      </c>
      <c r="I1439" t="s">
        <v>1519</v>
      </c>
    </row>
    <row r="1440" spans="1:9" x14ac:dyDescent="0.3">
      <c r="A1440" t="s">
        <v>1140</v>
      </c>
      <c r="C1440" t="s">
        <v>991</v>
      </c>
      <c r="E1440" t="s">
        <v>2085</v>
      </c>
      <c r="G1440" t="s">
        <v>1906</v>
      </c>
    </row>
    <row r="1441" spans="1:9" x14ac:dyDescent="0.3">
      <c r="A1441" t="s">
        <v>1141</v>
      </c>
      <c r="C1441" t="s">
        <v>992</v>
      </c>
      <c r="E1441" t="s">
        <v>2086</v>
      </c>
      <c r="G1441" t="s">
        <v>1907</v>
      </c>
    </row>
    <row r="1442" spans="1:9" x14ac:dyDescent="0.3">
      <c r="A1442" t="s">
        <v>1142</v>
      </c>
      <c r="C1442" t="s">
        <v>993</v>
      </c>
      <c r="E1442" t="s">
        <v>2087</v>
      </c>
      <c r="G1442" t="s">
        <v>1908</v>
      </c>
      <c r="I1442" t="s">
        <v>1323</v>
      </c>
    </row>
    <row r="1443" spans="1:9" x14ac:dyDescent="0.3">
      <c r="A1443" t="s">
        <v>1143</v>
      </c>
      <c r="C1443" t="s">
        <v>994</v>
      </c>
      <c r="E1443" t="s">
        <v>3582</v>
      </c>
      <c r="G1443" t="s">
        <v>89</v>
      </c>
      <c r="I1443" t="s">
        <v>1503</v>
      </c>
    </row>
    <row r="1444" spans="1:9" x14ac:dyDescent="0.3">
      <c r="A1444" t="s">
        <v>1144</v>
      </c>
      <c r="C1444" t="s">
        <v>995</v>
      </c>
      <c r="G1444" t="s">
        <v>1909</v>
      </c>
    </row>
    <row r="1445" spans="1:9" x14ac:dyDescent="0.3">
      <c r="A1445" t="s">
        <v>1527</v>
      </c>
      <c r="C1445" t="s">
        <v>996</v>
      </c>
      <c r="I1445" t="s">
        <v>3198</v>
      </c>
    </row>
    <row r="1446" spans="1:9" x14ac:dyDescent="0.3">
      <c r="C1446" t="s">
        <v>997</v>
      </c>
      <c r="E1446" t="s">
        <v>1302</v>
      </c>
    </row>
    <row r="1447" spans="1:9" x14ac:dyDescent="0.3">
      <c r="C1447" t="s">
        <v>998</v>
      </c>
      <c r="E1447" t="s">
        <v>1911</v>
      </c>
      <c r="G1447" t="s">
        <v>845</v>
      </c>
      <c r="I1447" t="s">
        <v>1040</v>
      </c>
    </row>
    <row r="1448" spans="1:9" x14ac:dyDescent="0.3">
      <c r="A1448" t="s">
        <v>1528</v>
      </c>
      <c r="C1448" t="s">
        <v>999</v>
      </c>
      <c r="G1448" t="s">
        <v>1911</v>
      </c>
      <c r="I1448" t="s">
        <v>1041</v>
      </c>
    </row>
    <row r="1449" spans="1:9" x14ac:dyDescent="0.3">
      <c r="A1449" t="s">
        <v>1503</v>
      </c>
      <c r="E1449" t="s">
        <v>3197</v>
      </c>
      <c r="I1449" t="s">
        <v>1042</v>
      </c>
    </row>
    <row r="1450" spans="1:9" x14ac:dyDescent="0.3">
      <c r="G1450" t="s">
        <v>3176</v>
      </c>
      <c r="I1450" t="s">
        <v>1043</v>
      </c>
    </row>
    <row r="1451" spans="1:9" x14ac:dyDescent="0.3">
      <c r="A1451" t="s">
        <v>1146</v>
      </c>
      <c r="C1451" t="s">
        <v>1000</v>
      </c>
      <c r="E1451" t="s">
        <v>2089</v>
      </c>
      <c r="I1451" t="s">
        <v>1044</v>
      </c>
    </row>
    <row r="1452" spans="1:9" x14ac:dyDescent="0.3">
      <c r="A1452" t="s">
        <v>1147</v>
      </c>
      <c r="C1452" t="s">
        <v>1503</v>
      </c>
      <c r="E1452" t="s">
        <v>2090</v>
      </c>
      <c r="G1452" t="s">
        <v>1912</v>
      </c>
      <c r="I1452" t="s">
        <v>1047</v>
      </c>
    </row>
    <row r="1453" spans="1:9" x14ac:dyDescent="0.3">
      <c r="A1453" t="s">
        <v>1148</v>
      </c>
      <c r="E1453" t="s">
        <v>2091</v>
      </c>
      <c r="G1453" t="s">
        <v>1913</v>
      </c>
      <c r="I1453" t="s">
        <v>1048</v>
      </c>
    </row>
    <row r="1454" spans="1:9" ht="28.8" x14ac:dyDescent="0.3">
      <c r="A1454" t="s">
        <v>1149</v>
      </c>
      <c r="C1454" t="s">
        <v>3183</v>
      </c>
      <c r="E1454" t="s">
        <v>2092</v>
      </c>
      <c r="G1454" s="9" t="s">
        <v>1914</v>
      </c>
      <c r="I1454" t="s">
        <v>1049</v>
      </c>
    </row>
    <row r="1455" spans="1:9" x14ac:dyDescent="0.3">
      <c r="A1455" t="s">
        <v>1150</v>
      </c>
      <c r="E1455" t="s">
        <v>2093</v>
      </c>
      <c r="G1455" t="s">
        <v>3431</v>
      </c>
      <c r="I1455" t="s">
        <v>1050</v>
      </c>
    </row>
    <row r="1456" spans="1:9" x14ac:dyDescent="0.3">
      <c r="A1456" t="s">
        <v>1529</v>
      </c>
      <c r="C1456" t="s">
        <v>994</v>
      </c>
      <c r="E1456" t="s">
        <v>2094</v>
      </c>
      <c r="G1456" t="s">
        <v>1917</v>
      </c>
      <c r="I1456" t="s">
        <v>1051</v>
      </c>
    </row>
    <row r="1457" spans="1:9" x14ac:dyDescent="0.3">
      <c r="C1457" t="s">
        <v>995</v>
      </c>
      <c r="E1457" t="s">
        <v>3583</v>
      </c>
      <c r="G1457" t="s">
        <v>1918</v>
      </c>
      <c r="I1457" t="s">
        <v>1052</v>
      </c>
    </row>
    <row r="1458" spans="1:9" x14ac:dyDescent="0.3">
      <c r="C1458" t="s">
        <v>996</v>
      </c>
      <c r="E1458" t="s">
        <v>2098</v>
      </c>
      <c r="G1458" t="s">
        <v>1919</v>
      </c>
      <c r="I1458" t="s">
        <v>1053</v>
      </c>
    </row>
    <row r="1459" spans="1:9" x14ac:dyDescent="0.3">
      <c r="A1459" t="s">
        <v>1530</v>
      </c>
      <c r="C1459" t="s">
        <v>997</v>
      </c>
      <c r="E1459" t="s">
        <v>3584</v>
      </c>
      <c r="G1459" t="s">
        <v>1920</v>
      </c>
      <c r="I1459" t="s">
        <v>1054</v>
      </c>
    </row>
    <row r="1460" spans="1:9" x14ac:dyDescent="0.3">
      <c r="A1460" t="s">
        <v>1503</v>
      </c>
      <c r="C1460" t="s">
        <v>998</v>
      </c>
      <c r="E1460" t="s">
        <v>2102</v>
      </c>
      <c r="G1460" t="s">
        <v>3432</v>
      </c>
      <c r="I1460" t="s">
        <v>1055</v>
      </c>
    </row>
    <row r="1461" spans="1:9" x14ac:dyDescent="0.3">
      <c r="C1461" t="s">
        <v>1001</v>
      </c>
      <c r="E1461" t="s">
        <v>2103</v>
      </c>
      <c r="G1461" t="s">
        <v>1923</v>
      </c>
      <c r="I1461" t="s">
        <v>1056</v>
      </c>
    </row>
    <row r="1462" spans="1:9" x14ac:dyDescent="0.3">
      <c r="A1462" t="s">
        <v>1152</v>
      </c>
      <c r="C1462" t="s">
        <v>1002</v>
      </c>
      <c r="E1462" t="s">
        <v>2104</v>
      </c>
      <c r="G1462" t="s">
        <v>1924</v>
      </c>
      <c r="I1462" t="s">
        <v>1520</v>
      </c>
    </row>
    <row r="1463" spans="1:9" x14ac:dyDescent="0.3">
      <c r="A1463" t="s">
        <v>1153</v>
      </c>
      <c r="C1463" t="s">
        <v>1003</v>
      </c>
      <c r="E1463" t="s">
        <v>3585</v>
      </c>
      <c r="G1463" t="s">
        <v>1925</v>
      </c>
    </row>
    <row r="1464" spans="1:9" x14ac:dyDescent="0.3">
      <c r="A1464" t="s">
        <v>89</v>
      </c>
      <c r="C1464" t="s">
        <v>1004</v>
      </c>
      <c r="E1464" t="s">
        <v>3586</v>
      </c>
      <c r="G1464" t="s">
        <v>1926</v>
      </c>
    </row>
    <row r="1465" spans="1:9" x14ac:dyDescent="0.3">
      <c r="A1465" t="s">
        <v>1154</v>
      </c>
      <c r="C1465" t="s">
        <v>1005</v>
      </c>
      <c r="E1465" t="s">
        <v>3587</v>
      </c>
      <c r="G1465" t="s">
        <v>1927</v>
      </c>
      <c r="I1465" t="s">
        <v>1333</v>
      </c>
    </row>
    <row r="1466" spans="1:9" x14ac:dyDescent="0.3">
      <c r="A1466" t="s">
        <v>1155</v>
      </c>
      <c r="C1466" t="s">
        <v>1006</v>
      </c>
      <c r="E1466" t="s">
        <v>2111</v>
      </c>
      <c r="G1466" t="s">
        <v>1928</v>
      </c>
      <c r="I1466" t="s">
        <v>1503</v>
      </c>
    </row>
    <row r="1467" spans="1:9" x14ac:dyDescent="0.3">
      <c r="A1467" t="s">
        <v>1156</v>
      </c>
      <c r="C1467" t="s">
        <v>1007</v>
      </c>
      <c r="E1467" t="s">
        <v>2112</v>
      </c>
      <c r="G1467" t="s">
        <v>1929</v>
      </c>
    </row>
    <row r="1468" spans="1:9" x14ac:dyDescent="0.3">
      <c r="A1468" t="s">
        <v>1159</v>
      </c>
      <c r="C1468" t="s">
        <v>1008</v>
      </c>
      <c r="E1468" t="s">
        <v>3588</v>
      </c>
      <c r="G1468" t="s">
        <v>1930</v>
      </c>
      <c r="I1468" t="s">
        <v>3199</v>
      </c>
    </row>
    <row r="1469" spans="1:9" x14ac:dyDescent="0.3">
      <c r="A1469" t="s">
        <v>1160</v>
      </c>
      <c r="C1469" t="s">
        <v>1009</v>
      </c>
      <c r="E1469" t="s">
        <v>89</v>
      </c>
      <c r="G1469" t="s">
        <v>1931</v>
      </c>
    </row>
    <row r="1470" spans="1:9" x14ac:dyDescent="0.3">
      <c r="A1470" t="s">
        <v>1161</v>
      </c>
      <c r="C1470" t="s">
        <v>1010</v>
      </c>
      <c r="E1470" t="s">
        <v>2114</v>
      </c>
      <c r="G1470" t="s">
        <v>1932</v>
      </c>
      <c r="I1470" t="s">
        <v>1058</v>
      </c>
    </row>
    <row r="1471" spans="1:9" x14ac:dyDescent="0.3">
      <c r="A1471" t="s">
        <v>1162</v>
      </c>
      <c r="C1471" t="s">
        <v>1011</v>
      </c>
      <c r="E1471" t="s">
        <v>2115</v>
      </c>
      <c r="G1471" t="s">
        <v>1933</v>
      </c>
      <c r="I1471" t="s">
        <v>1059</v>
      </c>
    </row>
    <row r="1472" spans="1:9" x14ac:dyDescent="0.3">
      <c r="A1472" t="s">
        <v>1163</v>
      </c>
      <c r="C1472" t="s">
        <v>1012</v>
      </c>
      <c r="E1472" t="s">
        <v>2116</v>
      </c>
      <c r="G1472" t="s">
        <v>1934</v>
      </c>
      <c r="I1472" t="s">
        <v>1060</v>
      </c>
    </row>
    <row r="1473" spans="1:9" x14ac:dyDescent="0.3">
      <c r="A1473" t="s">
        <v>1164</v>
      </c>
      <c r="C1473" t="s">
        <v>1013</v>
      </c>
      <c r="E1473" t="s">
        <v>2117</v>
      </c>
      <c r="G1473" t="s">
        <v>1935</v>
      </c>
      <c r="I1473" t="s">
        <v>1061</v>
      </c>
    </row>
    <row r="1474" spans="1:9" x14ac:dyDescent="0.3">
      <c r="A1474" t="s">
        <v>1165</v>
      </c>
      <c r="C1474" t="s">
        <v>1014</v>
      </c>
      <c r="E1474" t="s">
        <v>3589</v>
      </c>
      <c r="G1474" t="s">
        <v>1936</v>
      </c>
      <c r="I1474" t="s">
        <v>1062</v>
      </c>
    </row>
    <row r="1475" spans="1:9" x14ac:dyDescent="0.3">
      <c r="A1475" t="s">
        <v>1166</v>
      </c>
      <c r="C1475" t="s">
        <v>1015</v>
      </c>
      <c r="G1475" t="s">
        <v>1937</v>
      </c>
      <c r="I1475" t="s">
        <v>1063</v>
      </c>
    </row>
    <row r="1476" spans="1:9" x14ac:dyDescent="0.3">
      <c r="A1476" t="s">
        <v>1531</v>
      </c>
      <c r="C1476" t="s">
        <v>1016</v>
      </c>
      <c r="G1476" t="s">
        <v>1938</v>
      </c>
      <c r="I1476" t="s">
        <v>1064</v>
      </c>
    </row>
    <row r="1477" spans="1:9" x14ac:dyDescent="0.3">
      <c r="C1477" t="s">
        <v>1017</v>
      </c>
      <c r="E1477" t="s">
        <v>1323</v>
      </c>
      <c r="G1477" t="s">
        <v>1940</v>
      </c>
      <c r="I1477" t="s">
        <v>1065</v>
      </c>
    </row>
    <row r="1478" spans="1:9" x14ac:dyDescent="0.3">
      <c r="C1478" t="s">
        <v>1018</v>
      </c>
      <c r="E1478" t="s">
        <v>1911</v>
      </c>
      <c r="G1478" t="s">
        <v>1941</v>
      </c>
      <c r="I1478" t="s">
        <v>1066</v>
      </c>
    </row>
    <row r="1479" spans="1:9" x14ac:dyDescent="0.3">
      <c r="A1479" t="s">
        <v>1532</v>
      </c>
      <c r="C1479" t="s">
        <v>1019</v>
      </c>
      <c r="G1479" t="s">
        <v>1942</v>
      </c>
      <c r="I1479" t="s">
        <v>1067</v>
      </c>
    </row>
    <row r="1480" spans="1:9" x14ac:dyDescent="0.3">
      <c r="A1480" t="s">
        <v>1503</v>
      </c>
      <c r="C1480" t="s">
        <v>1020</v>
      </c>
      <c r="E1480" t="s">
        <v>3198</v>
      </c>
      <c r="G1480" t="e">
        <f>- installazione e manutenzione: impianti elettrici e impianti</f>
        <v>#NAME?</v>
      </c>
      <c r="I1480" t="s">
        <v>1070</v>
      </c>
    </row>
    <row r="1481" spans="1:9" x14ac:dyDescent="0.3">
      <c r="C1481" t="s">
        <v>1021</v>
      </c>
      <c r="G1481" t="s">
        <v>1943</v>
      </c>
      <c r="I1481" t="s">
        <v>1071</v>
      </c>
    </row>
    <row r="1482" spans="1:9" x14ac:dyDescent="0.3">
      <c r="A1482" t="s">
        <v>1168</v>
      </c>
      <c r="E1482" t="s">
        <v>2119</v>
      </c>
      <c r="G1482" t="s">
        <v>1944</v>
      </c>
      <c r="I1482" t="s">
        <v>1072</v>
      </c>
    </row>
    <row r="1483" spans="1:9" x14ac:dyDescent="0.3">
      <c r="A1483" t="s">
        <v>1169</v>
      </c>
      <c r="E1483" t="s">
        <v>2120</v>
      </c>
      <c r="G1483" t="s">
        <v>1945</v>
      </c>
      <c r="I1483" t="s">
        <v>1073</v>
      </c>
    </row>
    <row r="1484" spans="1:9" x14ac:dyDescent="0.3">
      <c r="A1484" t="s">
        <v>1170</v>
      </c>
      <c r="C1484" t="s">
        <v>1022</v>
      </c>
      <c r="E1484" t="s">
        <v>2121</v>
      </c>
      <c r="G1484" t="s">
        <v>1946</v>
      </c>
      <c r="I1484" t="s">
        <v>1074</v>
      </c>
    </row>
    <row r="1485" spans="1:9" x14ac:dyDescent="0.3">
      <c r="A1485" t="s">
        <v>1171</v>
      </c>
      <c r="C1485" t="s">
        <v>1503</v>
      </c>
      <c r="E1485" t="s">
        <v>2122</v>
      </c>
      <c r="G1485" t="s">
        <v>1947</v>
      </c>
      <c r="I1485" t="s">
        <v>1521</v>
      </c>
    </row>
    <row r="1486" spans="1:9" x14ac:dyDescent="0.3">
      <c r="A1486" t="s">
        <v>1172</v>
      </c>
      <c r="E1486" t="s">
        <v>2123</v>
      </c>
      <c r="G1486" t="s">
        <v>1948</v>
      </c>
    </row>
    <row r="1487" spans="1:9" x14ac:dyDescent="0.3">
      <c r="A1487" t="s">
        <v>1173</v>
      </c>
      <c r="C1487" t="s">
        <v>3184</v>
      </c>
      <c r="E1487" t="s">
        <v>3590</v>
      </c>
      <c r="G1487" t="s">
        <v>1949</v>
      </c>
    </row>
    <row r="1488" spans="1:9" x14ac:dyDescent="0.3">
      <c r="A1488" t="s">
        <v>1174</v>
      </c>
      <c r="E1488" t="s">
        <v>2126</v>
      </c>
      <c r="G1488" t="s">
        <v>1950</v>
      </c>
      <c r="I1488" t="s">
        <v>1522</v>
      </c>
    </row>
    <row r="1489" spans="1:9" x14ac:dyDescent="0.3">
      <c r="A1489" t="s">
        <v>1175</v>
      </c>
      <c r="C1489" t="s">
        <v>1016</v>
      </c>
      <c r="E1489" t="s">
        <v>2127</v>
      </c>
      <c r="G1489" t="s">
        <v>1951</v>
      </c>
      <c r="I1489" t="s">
        <v>1503</v>
      </c>
    </row>
    <row r="1490" spans="1:9" x14ac:dyDescent="0.3">
      <c r="A1490" t="s">
        <v>1176</v>
      </c>
      <c r="C1490" t="s">
        <v>1017</v>
      </c>
      <c r="E1490" t="s">
        <v>2128</v>
      </c>
    </row>
    <row r="1491" spans="1:9" x14ac:dyDescent="0.3">
      <c r="A1491" t="s">
        <v>1177</v>
      </c>
      <c r="C1491" t="s">
        <v>1018</v>
      </c>
      <c r="E1491" t="s">
        <v>3591</v>
      </c>
      <c r="I1491" t="s">
        <v>3200</v>
      </c>
    </row>
    <row r="1492" spans="1:9" x14ac:dyDescent="0.3">
      <c r="A1492" t="s">
        <v>1180</v>
      </c>
      <c r="C1492" t="s">
        <v>1019</v>
      </c>
      <c r="E1492" t="s">
        <v>2131</v>
      </c>
      <c r="G1492" t="s">
        <v>866</v>
      </c>
    </row>
    <row r="1493" spans="1:9" x14ac:dyDescent="0.3">
      <c r="A1493" t="s">
        <v>1181</v>
      </c>
      <c r="C1493" t="s">
        <v>1020</v>
      </c>
      <c r="E1493" t="s">
        <v>2132</v>
      </c>
      <c r="G1493" t="s">
        <v>1911</v>
      </c>
      <c r="I1493" t="s">
        <v>1076</v>
      </c>
    </row>
    <row r="1494" spans="1:9" x14ac:dyDescent="0.3">
      <c r="A1494" t="s">
        <v>1533</v>
      </c>
      <c r="C1494" t="s">
        <v>1023</v>
      </c>
      <c r="E1494" t="s">
        <v>2133</v>
      </c>
      <c r="I1494" t="s">
        <v>1077</v>
      </c>
    </row>
    <row r="1495" spans="1:9" x14ac:dyDescent="0.3">
      <c r="C1495" t="s">
        <v>1024</v>
      </c>
      <c r="E1495" t="s">
        <v>2134</v>
      </c>
      <c r="G1495" t="s">
        <v>3177</v>
      </c>
      <c r="I1495" t="s">
        <v>1078</v>
      </c>
    </row>
    <row r="1496" spans="1:9" x14ac:dyDescent="0.3">
      <c r="C1496" t="s">
        <v>1025</v>
      </c>
      <c r="E1496" t="s">
        <v>3592</v>
      </c>
      <c r="I1496" t="s">
        <v>1079</v>
      </c>
    </row>
    <row r="1497" spans="1:9" x14ac:dyDescent="0.3">
      <c r="A1497" t="s">
        <v>1534</v>
      </c>
      <c r="C1497" t="s">
        <v>1026</v>
      </c>
      <c r="E1497" t="s">
        <v>2138</v>
      </c>
      <c r="G1497" t="s">
        <v>1946</v>
      </c>
      <c r="I1497" t="s">
        <v>1080</v>
      </c>
    </row>
    <row r="1498" spans="1:9" x14ac:dyDescent="0.3">
      <c r="A1498" t="s">
        <v>1503</v>
      </c>
      <c r="C1498" t="s">
        <v>1027</v>
      </c>
      <c r="E1498" t="s">
        <v>2139</v>
      </c>
      <c r="G1498" t="s">
        <v>1947</v>
      </c>
      <c r="I1498" t="s">
        <v>1081</v>
      </c>
    </row>
    <row r="1499" spans="1:9" x14ac:dyDescent="0.3">
      <c r="C1499" t="s">
        <v>1028</v>
      </c>
      <c r="E1499" t="s">
        <v>3593</v>
      </c>
      <c r="G1499" t="s">
        <v>1948</v>
      </c>
      <c r="I1499" t="s">
        <v>1082</v>
      </c>
    </row>
    <row r="1500" spans="1:9" x14ac:dyDescent="0.3">
      <c r="A1500" t="s">
        <v>1183</v>
      </c>
      <c r="C1500" t="s">
        <v>1029</v>
      </c>
      <c r="E1500" t="s">
        <v>2142</v>
      </c>
      <c r="G1500" t="s">
        <v>1949</v>
      </c>
      <c r="I1500" t="s">
        <v>1083</v>
      </c>
    </row>
    <row r="1501" spans="1:9" x14ac:dyDescent="0.3">
      <c r="A1501" t="s">
        <v>1184</v>
      </c>
      <c r="C1501" t="s">
        <v>1030</v>
      </c>
      <c r="E1501" t="s">
        <v>2143</v>
      </c>
      <c r="G1501" t="s">
        <v>1950</v>
      </c>
      <c r="I1501" t="s">
        <v>1084</v>
      </c>
    </row>
    <row r="1502" spans="1:9" x14ac:dyDescent="0.3">
      <c r="A1502" t="s">
        <v>1185</v>
      </c>
      <c r="C1502" t="s">
        <v>614</v>
      </c>
      <c r="E1502" t="s">
        <v>3594</v>
      </c>
      <c r="G1502" t="s">
        <v>1951</v>
      </c>
      <c r="I1502" t="s">
        <v>1085</v>
      </c>
    </row>
    <row r="1503" spans="1:9" x14ac:dyDescent="0.3">
      <c r="A1503" t="s">
        <v>1186</v>
      </c>
      <c r="C1503" t="s">
        <v>1031</v>
      </c>
      <c r="E1503" t="s">
        <v>2146</v>
      </c>
      <c r="G1503" t="s">
        <v>1952</v>
      </c>
      <c r="I1503" t="s">
        <v>1086</v>
      </c>
    </row>
    <row r="1504" spans="1:9" x14ac:dyDescent="0.3">
      <c r="A1504" t="s">
        <v>1535</v>
      </c>
      <c r="C1504" t="s">
        <v>1032</v>
      </c>
      <c r="E1504" t="s">
        <v>2147</v>
      </c>
      <c r="G1504" t="s">
        <v>1953</v>
      </c>
      <c r="I1504" t="s">
        <v>1087</v>
      </c>
    </row>
    <row r="1505" spans="1:9" x14ac:dyDescent="0.3">
      <c r="C1505" t="s">
        <v>1033</v>
      </c>
      <c r="E1505" t="s">
        <v>3595</v>
      </c>
      <c r="G1505" t="s">
        <v>1954</v>
      </c>
      <c r="I1505" t="s">
        <v>1088</v>
      </c>
    </row>
    <row r="1506" spans="1:9" x14ac:dyDescent="0.3">
      <c r="C1506" t="s">
        <v>89</v>
      </c>
      <c r="E1506" t="s">
        <v>2149</v>
      </c>
      <c r="G1506" t="s">
        <v>1955</v>
      </c>
      <c r="I1506" t="s">
        <v>1089</v>
      </c>
    </row>
    <row r="1507" spans="1:9" x14ac:dyDescent="0.3">
      <c r="A1507" t="s">
        <v>1536</v>
      </c>
      <c r="C1507" t="s">
        <v>1034</v>
      </c>
      <c r="G1507" t="s">
        <v>1956</v>
      </c>
      <c r="I1507" t="s">
        <v>1523</v>
      </c>
    </row>
    <row r="1508" spans="1:9" x14ac:dyDescent="0.3">
      <c r="A1508" t="s">
        <v>1503</v>
      </c>
      <c r="C1508" t="s">
        <v>1035</v>
      </c>
      <c r="G1508" t="s">
        <v>1957</v>
      </c>
    </row>
    <row r="1509" spans="1:9" x14ac:dyDescent="0.3">
      <c r="C1509" t="s">
        <v>1036</v>
      </c>
      <c r="E1509" t="s">
        <v>1333</v>
      </c>
      <c r="G1509" t="s">
        <v>1958</v>
      </c>
    </row>
    <row r="1510" spans="1:9" x14ac:dyDescent="0.3">
      <c r="A1510" t="s">
        <v>1188</v>
      </c>
      <c r="C1510" t="s">
        <v>1037</v>
      </c>
      <c r="E1510" t="s">
        <v>1911</v>
      </c>
      <c r="G1510" t="s">
        <v>1959</v>
      </c>
      <c r="I1510" t="s">
        <v>1524</v>
      </c>
    </row>
    <row r="1511" spans="1:9" x14ac:dyDescent="0.3">
      <c r="A1511" t="s">
        <v>1189</v>
      </c>
      <c r="C1511" t="s">
        <v>1038</v>
      </c>
      <c r="G1511" t="s">
        <v>1960</v>
      </c>
      <c r="I1511" t="s">
        <v>1503</v>
      </c>
    </row>
    <row r="1512" spans="1:9" x14ac:dyDescent="0.3">
      <c r="A1512" t="s">
        <v>1190</v>
      </c>
      <c r="C1512" t="s">
        <v>1039</v>
      </c>
      <c r="E1512" t="s">
        <v>3199</v>
      </c>
      <c r="G1512" t="s">
        <v>1961</v>
      </c>
    </row>
    <row r="1513" spans="1:9" x14ac:dyDescent="0.3">
      <c r="A1513" t="s">
        <v>1191</v>
      </c>
      <c r="C1513" t="s">
        <v>1040</v>
      </c>
      <c r="G1513" t="s">
        <v>1962</v>
      </c>
      <c r="I1513" t="s">
        <v>3201</v>
      </c>
    </row>
    <row r="1514" spans="1:9" x14ac:dyDescent="0.3">
      <c r="A1514" t="s">
        <v>1192</v>
      </c>
      <c r="C1514" t="s">
        <v>1041</v>
      </c>
      <c r="E1514" t="s">
        <v>2151</v>
      </c>
      <c r="G1514">
        <v>1</v>
      </c>
    </row>
    <row r="1515" spans="1:9" x14ac:dyDescent="0.3">
      <c r="A1515" t="s">
        <v>1193</v>
      </c>
      <c r="C1515" t="s">
        <v>1042</v>
      </c>
      <c r="E1515" t="s">
        <v>2152</v>
      </c>
      <c r="G1515" t="s">
        <v>89</v>
      </c>
      <c r="I1515" t="s">
        <v>1091</v>
      </c>
    </row>
    <row r="1516" spans="1:9" x14ac:dyDescent="0.3">
      <c r="A1516" t="s">
        <v>1194</v>
      </c>
      <c r="C1516" t="s">
        <v>1043</v>
      </c>
      <c r="E1516" t="s">
        <v>2153</v>
      </c>
      <c r="G1516" t="s">
        <v>1963</v>
      </c>
      <c r="I1516" t="s">
        <v>1094</v>
      </c>
    </row>
    <row r="1517" spans="1:9" x14ac:dyDescent="0.3">
      <c r="A1517" t="s">
        <v>1195</v>
      </c>
      <c r="C1517" t="s">
        <v>1044</v>
      </c>
      <c r="E1517" t="s">
        <v>2154</v>
      </c>
      <c r="G1517" t="s">
        <v>1964</v>
      </c>
      <c r="I1517" t="s">
        <v>89</v>
      </c>
    </row>
    <row r="1518" spans="1:9" x14ac:dyDescent="0.3">
      <c r="A1518" t="s">
        <v>1196</v>
      </c>
      <c r="C1518" t="s">
        <v>1045</v>
      </c>
      <c r="E1518" t="s">
        <v>2155</v>
      </c>
      <c r="G1518" t="s">
        <v>1965</v>
      </c>
      <c r="I1518" t="s">
        <v>1095</v>
      </c>
    </row>
    <row r="1519" spans="1:9" x14ac:dyDescent="0.3">
      <c r="A1519" t="s">
        <v>1197</v>
      </c>
      <c r="E1519" t="s">
        <v>2156</v>
      </c>
      <c r="G1519" t="s">
        <v>1966</v>
      </c>
      <c r="I1519" t="s">
        <v>1096</v>
      </c>
    </row>
    <row r="1520" spans="1:9" x14ac:dyDescent="0.3">
      <c r="A1520" t="s">
        <v>1198</v>
      </c>
      <c r="E1520" t="s">
        <v>3596</v>
      </c>
      <c r="G1520" t="s">
        <v>1967</v>
      </c>
      <c r="I1520" t="s">
        <v>1097</v>
      </c>
    </row>
    <row r="1521" spans="1:9" x14ac:dyDescent="0.3">
      <c r="A1521" t="s">
        <v>1199</v>
      </c>
      <c r="C1521" t="s">
        <v>1046</v>
      </c>
      <c r="E1521" t="s">
        <v>2159</v>
      </c>
      <c r="G1521" t="e">
        <f>- installazione e manutenzione di: cabine di trasformazione</f>
        <v>#NAME?</v>
      </c>
      <c r="I1521" t="s">
        <v>1098</v>
      </c>
    </row>
    <row r="1522" spans="1:9" x14ac:dyDescent="0.3">
      <c r="A1522" t="s">
        <v>1200</v>
      </c>
      <c r="C1522" t="s">
        <v>1503</v>
      </c>
      <c r="E1522" t="s">
        <v>2160</v>
      </c>
      <c r="G1522" t="s">
        <v>1969</v>
      </c>
      <c r="I1522" t="s">
        <v>1099</v>
      </c>
    </row>
    <row r="1523" spans="1:9" x14ac:dyDescent="0.3">
      <c r="A1523" t="s">
        <v>1201</v>
      </c>
      <c r="E1523" t="s">
        <v>2161</v>
      </c>
      <c r="G1523" t="s">
        <v>1970</v>
      </c>
      <c r="I1523" t="s">
        <v>1100</v>
      </c>
    </row>
    <row r="1524" spans="1:9" x14ac:dyDescent="0.3">
      <c r="A1524" t="s">
        <v>1204</v>
      </c>
      <c r="C1524" t="s">
        <v>3185</v>
      </c>
      <c r="E1524" t="s">
        <v>2162</v>
      </c>
      <c r="G1524" t="s">
        <v>1971</v>
      </c>
      <c r="I1524" t="s">
        <v>1101</v>
      </c>
    </row>
    <row r="1525" spans="1:9" x14ac:dyDescent="0.3">
      <c r="A1525" t="s">
        <v>1205</v>
      </c>
      <c r="E1525" t="s">
        <v>2163</v>
      </c>
      <c r="G1525" t="s">
        <v>1972</v>
      </c>
      <c r="I1525" t="s">
        <v>1102</v>
      </c>
    </row>
    <row r="1526" spans="1:9" x14ac:dyDescent="0.3">
      <c r="A1526" t="s">
        <v>1206</v>
      </c>
      <c r="C1526" t="s">
        <v>1038</v>
      </c>
      <c r="E1526" t="s">
        <v>3597</v>
      </c>
      <c r="G1526" t="s">
        <v>1973</v>
      </c>
      <c r="I1526" t="s">
        <v>1103</v>
      </c>
    </row>
    <row r="1527" spans="1:9" x14ac:dyDescent="0.3">
      <c r="A1527" t="s">
        <v>1207</v>
      </c>
      <c r="C1527" t="s">
        <v>1039</v>
      </c>
      <c r="E1527" t="s">
        <v>89</v>
      </c>
      <c r="G1527" t="s">
        <v>1974</v>
      </c>
      <c r="I1527" t="s">
        <v>1104</v>
      </c>
    </row>
    <row r="1528" spans="1:9" x14ac:dyDescent="0.3">
      <c r="A1528" t="s">
        <v>1208</v>
      </c>
      <c r="C1528" t="s">
        <v>1040</v>
      </c>
      <c r="E1528" t="s">
        <v>2165</v>
      </c>
      <c r="G1528" t="s">
        <v>1975</v>
      </c>
      <c r="I1528" t="s">
        <v>1105</v>
      </c>
    </row>
    <row r="1529" spans="1:9" x14ac:dyDescent="0.3">
      <c r="A1529" t="s">
        <v>1209</v>
      </c>
      <c r="C1529" t="s">
        <v>1041</v>
      </c>
      <c r="E1529" t="s">
        <v>2166</v>
      </c>
      <c r="G1529" t="s">
        <v>1976</v>
      </c>
      <c r="I1529" t="s">
        <v>1106</v>
      </c>
    </row>
    <row r="1530" spans="1:9" x14ac:dyDescent="0.3">
      <c r="A1530" t="s">
        <v>1210</v>
      </c>
      <c r="C1530" t="s">
        <v>1042</v>
      </c>
      <c r="E1530" t="s">
        <v>2167</v>
      </c>
      <c r="G1530" t="s">
        <v>1977</v>
      </c>
      <c r="I1530" t="s">
        <v>1107</v>
      </c>
    </row>
    <row r="1531" spans="1:9" x14ac:dyDescent="0.3">
      <c r="A1531" t="s">
        <v>1211</v>
      </c>
      <c r="C1531" t="s">
        <v>1043</v>
      </c>
      <c r="E1531" t="s">
        <v>2168</v>
      </c>
      <c r="G1531" t="s">
        <v>1978</v>
      </c>
      <c r="I1531" t="s">
        <v>1108</v>
      </c>
    </row>
    <row r="1532" spans="1:9" x14ac:dyDescent="0.3">
      <c r="A1532" t="s">
        <v>1212</v>
      </c>
      <c r="C1532" t="s">
        <v>1044</v>
      </c>
      <c r="E1532" t="s">
        <v>2169</v>
      </c>
      <c r="I1532" t="s">
        <v>1109</v>
      </c>
    </row>
    <row r="1533" spans="1:9" x14ac:dyDescent="0.3">
      <c r="A1533" t="s">
        <v>1213</v>
      </c>
      <c r="C1533" t="s">
        <v>1047</v>
      </c>
      <c r="E1533" t="s">
        <v>2170</v>
      </c>
      <c r="I1533" t="s">
        <v>1110</v>
      </c>
    </row>
    <row r="1534" spans="1:9" x14ac:dyDescent="0.3">
      <c r="A1534" t="s">
        <v>1214</v>
      </c>
      <c r="C1534" t="s">
        <v>1048</v>
      </c>
      <c r="E1534" t="s">
        <v>2171</v>
      </c>
      <c r="G1534" t="s">
        <v>888</v>
      </c>
      <c r="I1534" t="s">
        <v>1111</v>
      </c>
    </row>
    <row r="1535" spans="1:9" x14ac:dyDescent="0.3">
      <c r="A1535" t="s">
        <v>89</v>
      </c>
      <c r="C1535" t="s">
        <v>1049</v>
      </c>
      <c r="E1535" t="s">
        <v>2172</v>
      </c>
      <c r="G1535" t="s">
        <v>1911</v>
      </c>
      <c r="I1535" t="s">
        <v>1112</v>
      </c>
    </row>
    <row r="1536" spans="1:9" x14ac:dyDescent="0.3">
      <c r="A1536" t="s">
        <v>1537</v>
      </c>
      <c r="C1536" t="s">
        <v>1050</v>
      </c>
      <c r="E1536" t="s">
        <v>2173</v>
      </c>
      <c r="I1536" t="s">
        <v>1115</v>
      </c>
    </row>
    <row r="1537" spans="1:9" x14ac:dyDescent="0.3">
      <c r="C1537" t="s">
        <v>1051</v>
      </c>
      <c r="E1537" t="s">
        <v>2174</v>
      </c>
      <c r="G1537" t="s">
        <v>3178</v>
      </c>
      <c r="I1537" t="s">
        <v>1116</v>
      </c>
    </row>
    <row r="1538" spans="1:9" x14ac:dyDescent="0.3">
      <c r="C1538" t="s">
        <v>1052</v>
      </c>
      <c r="E1538" t="s">
        <v>3598</v>
      </c>
      <c r="I1538" t="s">
        <v>1117</v>
      </c>
    </row>
    <row r="1539" spans="1:9" x14ac:dyDescent="0.3">
      <c r="A1539" t="s">
        <v>1538</v>
      </c>
      <c r="C1539" t="s">
        <v>1053</v>
      </c>
      <c r="G1539" t="s">
        <v>1972</v>
      </c>
      <c r="I1539" t="s">
        <v>1118</v>
      </c>
    </row>
    <row r="1540" spans="1:9" x14ac:dyDescent="0.3">
      <c r="A1540" t="s">
        <v>1503</v>
      </c>
      <c r="C1540" t="s">
        <v>1054</v>
      </c>
      <c r="G1540" t="s">
        <v>1973</v>
      </c>
      <c r="I1540" t="s">
        <v>1119</v>
      </c>
    </row>
    <row r="1541" spans="1:9" x14ac:dyDescent="0.3">
      <c r="C1541" t="s">
        <v>1055</v>
      </c>
      <c r="E1541" t="s">
        <v>1522</v>
      </c>
      <c r="G1541" t="s">
        <v>1974</v>
      </c>
      <c r="I1541" t="s">
        <v>1120</v>
      </c>
    </row>
    <row r="1542" spans="1:9" x14ac:dyDescent="0.3">
      <c r="A1542" t="s">
        <v>1216</v>
      </c>
      <c r="C1542" t="s">
        <v>1056</v>
      </c>
      <c r="E1542" t="s">
        <v>1911</v>
      </c>
      <c r="G1542" t="s">
        <v>1975</v>
      </c>
      <c r="I1542" t="s">
        <v>1525</v>
      </c>
    </row>
    <row r="1543" spans="1:9" x14ac:dyDescent="0.3">
      <c r="A1543" t="s">
        <v>1217</v>
      </c>
      <c r="C1543" t="s">
        <v>1057</v>
      </c>
      <c r="G1543" t="s">
        <v>1976</v>
      </c>
    </row>
    <row r="1544" spans="1:9" x14ac:dyDescent="0.3">
      <c r="A1544" t="s">
        <v>1218</v>
      </c>
      <c r="C1544" t="s">
        <v>1058</v>
      </c>
      <c r="E1544" t="s">
        <v>3200</v>
      </c>
      <c r="G1544" t="s">
        <v>1977</v>
      </c>
    </row>
    <row r="1545" spans="1:9" x14ac:dyDescent="0.3">
      <c r="A1545" t="s">
        <v>1219</v>
      </c>
      <c r="C1545" t="s">
        <v>1059</v>
      </c>
      <c r="G1545" t="s">
        <v>1978</v>
      </c>
      <c r="I1545" t="s">
        <v>1526</v>
      </c>
    </row>
    <row r="1546" spans="1:9" x14ac:dyDescent="0.3">
      <c r="A1546" t="s">
        <v>1220</v>
      </c>
      <c r="C1546" t="s">
        <v>1060</v>
      </c>
      <c r="E1546" t="s">
        <v>2176</v>
      </c>
      <c r="G1546" t="s">
        <v>1979</v>
      </c>
      <c r="I1546" t="s">
        <v>1503</v>
      </c>
    </row>
    <row r="1547" spans="1:9" x14ac:dyDescent="0.3">
      <c r="A1547" t="s">
        <v>1221</v>
      </c>
      <c r="C1547" t="s">
        <v>1061</v>
      </c>
      <c r="E1547" t="s">
        <v>2177</v>
      </c>
      <c r="G1547" t="s">
        <v>1980</v>
      </c>
    </row>
    <row r="1548" spans="1:9" x14ac:dyDescent="0.3">
      <c r="A1548" t="s">
        <v>1222</v>
      </c>
      <c r="C1548" t="s">
        <v>1062</v>
      </c>
      <c r="E1548" t="s">
        <v>2178</v>
      </c>
      <c r="G1548" t="s">
        <v>1981</v>
      </c>
      <c r="I1548" t="s">
        <v>3202</v>
      </c>
    </row>
    <row r="1549" spans="1:9" x14ac:dyDescent="0.3">
      <c r="A1549" t="s">
        <v>1223</v>
      </c>
      <c r="C1549" t="s">
        <v>1063</v>
      </c>
      <c r="E1549" t="s">
        <v>3599</v>
      </c>
      <c r="G1549" t="s">
        <v>1982</v>
      </c>
    </row>
    <row r="1550" spans="1:9" x14ac:dyDescent="0.3">
      <c r="A1550" t="s">
        <v>1224</v>
      </c>
      <c r="C1550" t="s">
        <v>1064</v>
      </c>
      <c r="E1550" t="s">
        <v>2182</v>
      </c>
      <c r="G1550" t="s">
        <v>1983</v>
      </c>
      <c r="I1550" t="s">
        <v>1122</v>
      </c>
    </row>
    <row r="1551" spans="1:9" x14ac:dyDescent="0.3">
      <c r="A1551" t="s">
        <v>1227</v>
      </c>
      <c r="C1551" t="s">
        <v>1065</v>
      </c>
      <c r="E1551" t="s">
        <v>2183</v>
      </c>
      <c r="G1551" t="s">
        <v>1984</v>
      </c>
      <c r="I1551" t="s">
        <v>1123</v>
      </c>
    </row>
    <row r="1552" spans="1:9" x14ac:dyDescent="0.3">
      <c r="A1552" t="s">
        <v>1228</v>
      </c>
      <c r="C1552" t="s">
        <v>1066</v>
      </c>
      <c r="E1552" t="s">
        <v>3600</v>
      </c>
      <c r="G1552" t="s">
        <v>1985</v>
      </c>
      <c r="I1552" t="s">
        <v>1124</v>
      </c>
    </row>
    <row r="1553" spans="1:9" x14ac:dyDescent="0.3">
      <c r="A1553" t="s">
        <v>1229</v>
      </c>
      <c r="C1553" t="s">
        <v>1067</v>
      </c>
      <c r="E1553" t="s">
        <v>2186</v>
      </c>
      <c r="G1553" t="s">
        <v>1986</v>
      </c>
      <c r="I1553" t="s">
        <v>1125</v>
      </c>
    </row>
    <row r="1554" spans="1:9" x14ac:dyDescent="0.3">
      <c r="A1554" t="s">
        <v>1230</v>
      </c>
      <c r="C1554" t="s">
        <v>1068</v>
      </c>
      <c r="E1554" t="s">
        <v>3601</v>
      </c>
      <c r="G1554" t="s">
        <v>1987</v>
      </c>
      <c r="I1554" t="s">
        <v>1126</v>
      </c>
    </row>
    <row r="1555" spans="1:9" x14ac:dyDescent="0.3">
      <c r="A1555" t="s">
        <v>1231</v>
      </c>
      <c r="E1555" t="s">
        <v>2190</v>
      </c>
      <c r="G1555" t="s">
        <v>1988</v>
      </c>
      <c r="I1555" t="s">
        <v>1127</v>
      </c>
    </row>
    <row r="1556" spans="1:9" x14ac:dyDescent="0.3">
      <c r="A1556" t="s">
        <v>1232</v>
      </c>
      <c r="E1556" t="s">
        <v>2191</v>
      </c>
      <c r="G1556" t="s">
        <v>1989</v>
      </c>
      <c r="I1556" t="s">
        <v>1128</v>
      </c>
    </row>
    <row r="1557" spans="1:9" x14ac:dyDescent="0.3">
      <c r="A1557" t="s">
        <v>1233</v>
      </c>
      <c r="C1557" t="s">
        <v>1069</v>
      </c>
      <c r="E1557" t="s">
        <v>2192</v>
      </c>
      <c r="G1557" t="s">
        <v>1990</v>
      </c>
      <c r="I1557" t="s">
        <v>1129</v>
      </c>
    </row>
    <row r="1558" spans="1:9" x14ac:dyDescent="0.3">
      <c r="A1558" t="s">
        <v>1234</v>
      </c>
      <c r="C1558" t="s">
        <v>1503</v>
      </c>
      <c r="E1558" t="s">
        <v>3602</v>
      </c>
      <c r="G1558" t="s">
        <v>1992</v>
      </c>
      <c r="I1558" t="s">
        <v>1130</v>
      </c>
    </row>
    <row r="1559" spans="1:9" x14ac:dyDescent="0.3">
      <c r="A1559" t="s">
        <v>1235</v>
      </c>
      <c r="E1559" t="s">
        <v>2196</v>
      </c>
      <c r="G1559" t="s">
        <v>1993</v>
      </c>
      <c r="I1559" t="s">
        <v>1131</v>
      </c>
    </row>
    <row r="1560" spans="1:9" x14ac:dyDescent="0.3">
      <c r="A1560" t="s">
        <v>1236</v>
      </c>
      <c r="C1560" t="s">
        <v>3186</v>
      </c>
      <c r="E1560" t="s">
        <v>3603</v>
      </c>
      <c r="G1560" t="s">
        <v>1994</v>
      </c>
      <c r="I1560" t="s">
        <v>1132</v>
      </c>
    </row>
    <row r="1561" spans="1:9" x14ac:dyDescent="0.3">
      <c r="A1561" t="s">
        <v>1237</v>
      </c>
      <c r="E1561" t="s">
        <v>3604</v>
      </c>
      <c r="G1561" t="s">
        <v>1995</v>
      </c>
      <c r="I1561" t="s">
        <v>1133</v>
      </c>
    </row>
    <row r="1562" spans="1:9" x14ac:dyDescent="0.3">
      <c r="A1562" t="s">
        <v>1238</v>
      </c>
      <c r="C1562" t="s">
        <v>1063</v>
      </c>
      <c r="E1562" t="s">
        <v>2201</v>
      </c>
      <c r="G1562" t="s">
        <v>1996</v>
      </c>
      <c r="I1562" t="s">
        <v>1134</v>
      </c>
    </row>
    <row r="1563" spans="1:9" x14ac:dyDescent="0.3">
      <c r="A1563" t="s">
        <v>1239</v>
      </c>
      <c r="C1563" t="s">
        <v>1064</v>
      </c>
      <c r="E1563" t="s">
        <v>2202</v>
      </c>
      <c r="G1563" t="s">
        <v>1997</v>
      </c>
      <c r="I1563" t="s">
        <v>1135</v>
      </c>
    </row>
    <row r="1564" spans="1:9" x14ac:dyDescent="0.3">
      <c r="A1564" t="s">
        <v>1240</v>
      </c>
      <c r="C1564" t="s">
        <v>1065</v>
      </c>
      <c r="E1564" t="s">
        <v>2203</v>
      </c>
      <c r="G1564" t="s">
        <v>1998</v>
      </c>
      <c r="I1564" t="s">
        <v>1138</v>
      </c>
    </row>
    <row r="1565" spans="1:9" x14ac:dyDescent="0.3">
      <c r="A1565" t="s">
        <v>1539</v>
      </c>
      <c r="C1565" t="s">
        <v>1066</v>
      </c>
      <c r="E1565" t="s">
        <v>2204</v>
      </c>
      <c r="G1565" t="s">
        <v>1999</v>
      </c>
      <c r="I1565" t="s">
        <v>1139</v>
      </c>
    </row>
    <row r="1566" spans="1:9" x14ac:dyDescent="0.3">
      <c r="C1566" t="s">
        <v>1067</v>
      </c>
      <c r="E1566" t="s">
        <v>2205</v>
      </c>
      <c r="G1566" t="s">
        <v>2000</v>
      </c>
      <c r="I1566" t="s">
        <v>1140</v>
      </c>
    </row>
    <row r="1567" spans="1:9" x14ac:dyDescent="0.3">
      <c r="C1567" t="s">
        <v>1070</v>
      </c>
      <c r="E1567" t="s">
        <v>2206</v>
      </c>
      <c r="G1567" t="s">
        <v>2001</v>
      </c>
      <c r="I1567" t="s">
        <v>1141</v>
      </c>
    </row>
    <row r="1568" spans="1:9" x14ac:dyDescent="0.3">
      <c r="A1568" t="s">
        <v>1540</v>
      </c>
      <c r="C1568" t="s">
        <v>1071</v>
      </c>
      <c r="E1568" t="s">
        <v>2207</v>
      </c>
      <c r="G1568" t="s">
        <v>2002</v>
      </c>
      <c r="I1568" t="s">
        <v>1142</v>
      </c>
    </row>
    <row r="1569" spans="1:9" x14ac:dyDescent="0.3">
      <c r="A1569" t="s">
        <v>1503</v>
      </c>
      <c r="C1569" t="s">
        <v>1072</v>
      </c>
      <c r="E1569" t="s">
        <v>2208</v>
      </c>
      <c r="G1569" t="s">
        <v>2003</v>
      </c>
      <c r="I1569" t="s">
        <v>1143</v>
      </c>
    </row>
    <row r="1570" spans="1:9" x14ac:dyDescent="0.3">
      <c r="C1570" t="s">
        <v>1073</v>
      </c>
      <c r="E1570" t="s">
        <v>2209</v>
      </c>
      <c r="G1570" t="e">
        <f>- impianti di sollevamento di persone o di cose per mezzo di</f>
        <v>#NAME?</v>
      </c>
      <c r="I1570" t="s">
        <v>1144</v>
      </c>
    </row>
    <row r="1571" spans="1:9" x14ac:dyDescent="0.3">
      <c r="A1571" t="s">
        <v>1236</v>
      </c>
      <c r="C1571" t="s">
        <v>1074</v>
      </c>
      <c r="E1571" t="s">
        <v>3605</v>
      </c>
      <c r="G1571" t="s">
        <v>2004</v>
      </c>
      <c r="I1571" t="s">
        <v>1527</v>
      </c>
    </row>
    <row r="1572" spans="1:9" x14ac:dyDescent="0.3">
      <c r="A1572" t="s">
        <v>1237</v>
      </c>
      <c r="C1572" t="s">
        <v>1075</v>
      </c>
      <c r="G1572" t="s">
        <v>2005</v>
      </c>
    </row>
    <row r="1573" spans="1:9" x14ac:dyDescent="0.3">
      <c r="A1573" t="s">
        <v>1238</v>
      </c>
      <c r="C1573" t="s">
        <v>1076</v>
      </c>
      <c r="G1573" t="s">
        <v>2006</v>
      </c>
    </row>
    <row r="1574" spans="1:9" x14ac:dyDescent="0.3">
      <c r="A1574" t="s">
        <v>1239</v>
      </c>
      <c r="C1574" t="s">
        <v>1077</v>
      </c>
      <c r="E1574" t="s">
        <v>1524</v>
      </c>
      <c r="I1574" t="s">
        <v>1528</v>
      </c>
    </row>
    <row r="1575" spans="1:9" x14ac:dyDescent="0.3">
      <c r="A1575" t="s">
        <v>1240</v>
      </c>
      <c r="C1575" t="s">
        <v>1078</v>
      </c>
      <c r="E1575" t="s">
        <v>1911</v>
      </c>
      <c r="I1575" t="s">
        <v>1503</v>
      </c>
    </row>
    <row r="1576" spans="1:9" x14ac:dyDescent="0.3">
      <c r="A1576" t="s">
        <v>1241</v>
      </c>
      <c r="C1576" t="s">
        <v>1079</v>
      </c>
      <c r="G1576" t="s">
        <v>909</v>
      </c>
    </row>
    <row r="1577" spans="1:9" x14ac:dyDescent="0.3">
      <c r="A1577" t="s">
        <v>1242</v>
      </c>
      <c r="C1577" t="s">
        <v>1080</v>
      </c>
      <c r="E1577" t="s">
        <v>3201</v>
      </c>
      <c r="G1577" t="s">
        <v>1911</v>
      </c>
      <c r="I1577" t="s">
        <v>3203</v>
      </c>
    </row>
    <row r="1578" spans="1:9" x14ac:dyDescent="0.3">
      <c r="A1578" t="s">
        <v>1243</v>
      </c>
      <c r="C1578" t="s">
        <v>1081</v>
      </c>
    </row>
    <row r="1579" spans="1:9" x14ac:dyDescent="0.3">
      <c r="A1579" t="s">
        <v>1244</v>
      </c>
      <c r="C1579" t="s">
        <v>1082</v>
      </c>
      <c r="E1579" t="s">
        <v>2211</v>
      </c>
      <c r="G1579" t="s">
        <v>3179</v>
      </c>
      <c r="I1579" t="s">
        <v>1146</v>
      </c>
    </row>
    <row r="1580" spans="1:9" x14ac:dyDescent="0.3">
      <c r="A1580" t="s">
        <v>1247</v>
      </c>
      <c r="C1580" t="s">
        <v>1083</v>
      </c>
      <c r="E1580" t="s">
        <v>2212</v>
      </c>
      <c r="I1580" t="s">
        <v>1147</v>
      </c>
    </row>
    <row r="1581" spans="1:9" x14ac:dyDescent="0.3">
      <c r="A1581" t="s">
        <v>1248</v>
      </c>
      <c r="C1581" t="s">
        <v>1084</v>
      </c>
      <c r="E1581" t="s">
        <v>2213</v>
      </c>
      <c r="G1581" t="s">
        <v>2001</v>
      </c>
      <c r="I1581" t="s">
        <v>1148</v>
      </c>
    </row>
    <row r="1582" spans="1:9" x14ac:dyDescent="0.3">
      <c r="A1582" t="s">
        <v>1249</v>
      </c>
      <c r="C1582" t="s">
        <v>1085</v>
      </c>
      <c r="E1582" t="s">
        <v>2214</v>
      </c>
      <c r="G1582" t="s">
        <v>2002</v>
      </c>
      <c r="I1582" t="s">
        <v>1149</v>
      </c>
    </row>
    <row r="1583" spans="1:9" x14ac:dyDescent="0.3">
      <c r="A1583" t="s">
        <v>1250</v>
      </c>
      <c r="C1583" t="s">
        <v>1086</v>
      </c>
      <c r="E1583" t="s">
        <v>3606</v>
      </c>
      <c r="G1583" t="s">
        <v>2003</v>
      </c>
      <c r="I1583" t="s">
        <v>1150</v>
      </c>
    </row>
    <row r="1584" spans="1:9" x14ac:dyDescent="0.3">
      <c r="A1584" t="s">
        <v>1251</v>
      </c>
      <c r="C1584" t="s">
        <v>1087</v>
      </c>
      <c r="E1584" t="s">
        <v>2217</v>
      </c>
      <c r="G1584" t="e">
        <f>- impianti di sollevamento di persone o di cose per mezzo di</f>
        <v>#NAME?</v>
      </c>
      <c r="I1584" t="s">
        <v>1529</v>
      </c>
    </row>
    <row r="1585" spans="1:9" x14ac:dyDescent="0.3">
      <c r="A1585" t="s">
        <v>1252</v>
      </c>
      <c r="C1585" t="s">
        <v>1088</v>
      </c>
      <c r="E1585">
        <v>6</v>
      </c>
      <c r="G1585" t="s">
        <v>2004</v>
      </c>
    </row>
    <row r="1586" spans="1:9" x14ac:dyDescent="0.3">
      <c r="A1586" t="s">
        <v>1253</v>
      </c>
      <c r="C1586" t="s">
        <v>1089</v>
      </c>
      <c r="E1586" t="s">
        <v>89</v>
      </c>
      <c r="G1586" t="s">
        <v>2005</v>
      </c>
    </row>
    <row r="1587" spans="1:9" x14ac:dyDescent="0.3">
      <c r="A1587" t="s">
        <v>1254</v>
      </c>
      <c r="C1587" t="s">
        <v>1090</v>
      </c>
      <c r="E1587" t="s">
        <v>3607</v>
      </c>
      <c r="G1587" t="s">
        <v>2006</v>
      </c>
      <c r="I1587" t="s">
        <v>1530</v>
      </c>
    </row>
    <row r="1588" spans="1:9" x14ac:dyDescent="0.3">
      <c r="A1588" t="s">
        <v>1255</v>
      </c>
      <c r="C1588" t="s">
        <v>1091</v>
      </c>
      <c r="E1588" t="s">
        <v>2220</v>
      </c>
      <c r="G1588" t="s">
        <v>2007</v>
      </c>
      <c r="I1588" t="s">
        <v>1503</v>
      </c>
    </row>
    <row r="1589" spans="1:9" x14ac:dyDescent="0.3">
      <c r="A1589" t="s">
        <v>1256</v>
      </c>
      <c r="C1589" t="s">
        <v>1092</v>
      </c>
      <c r="E1589" t="s">
        <v>2221</v>
      </c>
      <c r="G1589" t="s">
        <v>2008</v>
      </c>
    </row>
    <row r="1590" spans="1:9" x14ac:dyDescent="0.3">
      <c r="A1590" t="s">
        <v>1257</v>
      </c>
      <c r="E1590" t="s">
        <v>2222</v>
      </c>
      <c r="G1590" t="e">
        <f>-  riparazioni di alimentazioni per autoveicoli a combustione</f>
        <v>#NAME?</v>
      </c>
      <c r="I1590" t="s">
        <v>3204</v>
      </c>
    </row>
    <row r="1591" spans="1:9" x14ac:dyDescent="0.3">
      <c r="A1591" t="s">
        <v>1258</v>
      </c>
      <c r="E1591" t="s">
        <v>2223</v>
      </c>
      <c r="G1591" t="s">
        <v>2009</v>
      </c>
    </row>
    <row r="1592" spans="1:9" x14ac:dyDescent="0.3">
      <c r="A1592" t="s">
        <v>1259</v>
      </c>
      <c r="C1592" t="s">
        <v>1093</v>
      </c>
      <c r="E1592" t="s">
        <v>2224</v>
      </c>
      <c r="G1592" t="s">
        <v>2010</v>
      </c>
      <c r="I1592" t="s">
        <v>1152</v>
      </c>
    </row>
    <row r="1593" spans="1:9" x14ac:dyDescent="0.3">
      <c r="A1593" t="s">
        <v>1260</v>
      </c>
      <c r="C1593" t="s">
        <v>1503</v>
      </c>
      <c r="E1593" t="s">
        <v>2225</v>
      </c>
      <c r="G1593" t="s">
        <v>2011</v>
      </c>
      <c r="I1593" t="s">
        <v>1153</v>
      </c>
    </row>
    <row r="1594" spans="1:9" x14ac:dyDescent="0.3">
      <c r="A1594" t="s">
        <v>1261</v>
      </c>
      <c r="E1594" t="s">
        <v>2226</v>
      </c>
      <c r="G1594">
        <v>2</v>
      </c>
      <c r="I1594" t="s">
        <v>89</v>
      </c>
    </row>
    <row r="1595" spans="1:9" x14ac:dyDescent="0.3">
      <c r="A1595" t="s">
        <v>1262</v>
      </c>
      <c r="C1595" t="s">
        <v>3187</v>
      </c>
      <c r="E1595" t="s">
        <v>2227</v>
      </c>
      <c r="G1595" t="s">
        <v>89</v>
      </c>
      <c r="I1595" t="s">
        <v>1154</v>
      </c>
    </row>
    <row r="1596" spans="1:9" x14ac:dyDescent="0.3">
      <c r="A1596" t="s">
        <v>1541</v>
      </c>
      <c r="E1596" t="s">
        <v>2229</v>
      </c>
      <c r="G1596" t="s">
        <v>2012</v>
      </c>
      <c r="I1596" t="s">
        <v>1155</v>
      </c>
    </row>
    <row r="1597" spans="1:9" x14ac:dyDescent="0.3">
      <c r="C1597" t="s">
        <v>1085</v>
      </c>
      <c r="E1597" t="s">
        <v>2230</v>
      </c>
      <c r="G1597" t="s">
        <v>2013</v>
      </c>
      <c r="I1597" t="s">
        <v>1156</v>
      </c>
    </row>
    <row r="1598" spans="1:9" x14ac:dyDescent="0.3">
      <c r="C1598" t="s">
        <v>1086</v>
      </c>
      <c r="E1598" t="s">
        <v>2231</v>
      </c>
      <c r="G1598" t="s">
        <v>2014</v>
      </c>
      <c r="I1598" t="s">
        <v>1159</v>
      </c>
    </row>
    <row r="1599" spans="1:9" x14ac:dyDescent="0.3">
      <c r="A1599" t="s">
        <v>1542</v>
      </c>
      <c r="C1599" t="s">
        <v>1087</v>
      </c>
      <c r="E1599" t="s">
        <v>2232</v>
      </c>
      <c r="G1599" t="s">
        <v>2017</v>
      </c>
      <c r="I1599" t="s">
        <v>1160</v>
      </c>
    </row>
    <row r="1600" spans="1:9" x14ac:dyDescent="0.3">
      <c r="A1600" t="s">
        <v>1503</v>
      </c>
      <c r="C1600" t="s">
        <v>1088</v>
      </c>
      <c r="E1600" t="s">
        <v>2233</v>
      </c>
      <c r="G1600" t="s">
        <v>2018</v>
      </c>
      <c r="I1600" t="s">
        <v>1161</v>
      </c>
    </row>
    <row r="1601" spans="1:9" x14ac:dyDescent="0.3">
      <c r="C1601" t="s">
        <v>1089</v>
      </c>
      <c r="E1601" t="s">
        <v>3608</v>
      </c>
      <c r="G1601" t="s">
        <v>2019</v>
      </c>
      <c r="I1601" t="s">
        <v>1162</v>
      </c>
    </row>
    <row r="1602" spans="1:9" x14ac:dyDescent="0.3">
      <c r="A1602" t="s">
        <v>1258</v>
      </c>
      <c r="C1602" t="s">
        <v>1090</v>
      </c>
      <c r="E1602" t="s">
        <v>2236</v>
      </c>
      <c r="G1602" t="s">
        <v>2020</v>
      </c>
      <c r="I1602" t="s">
        <v>1163</v>
      </c>
    </row>
    <row r="1603" spans="1:9" x14ac:dyDescent="0.3">
      <c r="A1603" t="s">
        <v>1259</v>
      </c>
      <c r="C1603" t="s">
        <v>1091</v>
      </c>
      <c r="E1603" t="s">
        <v>2237</v>
      </c>
      <c r="G1603" t="s">
        <v>2021</v>
      </c>
      <c r="I1603" t="s">
        <v>1164</v>
      </c>
    </row>
    <row r="1604" spans="1:9" x14ac:dyDescent="0.3">
      <c r="A1604" t="s">
        <v>1260</v>
      </c>
      <c r="C1604" t="s">
        <v>1094</v>
      </c>
      <c r="E1604" t="s">
        <v>3609</v>
      </c>
      <c r="G1604" t="s">
        <v>2022</v>
      </c>
      <c r="I1604" t="s">
        <v>1165</v>
      </c>
    </row>
    <row r="1605" spans="1:9" x14ac:dyDescent="0.3">
      <c r="A1605" t="s">
        <v>1261</v>
      </c>
      <c r="C1605" t="s">
        <v>89</v>
      </c>
      <c r="G1605" t="s">
        <v>2023</v>
      </c>
      <c r="I1605" t="s">
        <v>1166</v>
      </c>
    </row>
    <row r="1606" spans="1:9" x14ac:dyDescent="0.3">
      <c r="A1606" t="s">
        <v>1262</v>
      </c>
      <c r="C1606" t="s">
        <v>1095</v>
      </c>
      <c r="G1606" t="s">
        <v>2024</v>
      </c>
      <c r="I1606" t="s">
        <v>1531</v>
      </c>
    </row>
    <row r="1607" spans="1:9" x14ac:dyDescent="0.3">
      <c r="A1607" t="s">
        <v>1263</v>
      </c>
      <c r="C1607" t="s">
        <v>1096</v>
      </c>
      <c r="E1607" t="s">
        <v>1526</v>
      </c>
      <c r="G1607" t="s">
        <v>2025</v>
      </c>
    </row>
    <row r="1608" spans="1:9" x14ac:dyDescent="0.3">
      <c r="A1608" t="s">
        <v>1264</v>
      </c>
      <c r="C1608" t="s">
        <v>1097</v>
      </c>
      <c r="E1608" t="s">
        <v>1911</v>
      </c>
      <c r="G1608" t="s">
        <v>2026</v>
      </c>
    </row>
    <row r="1609" spans="1:9" x14ac:dyDescent="0.3">
      <c r="A1609" t="s">
        <v>1265</v>
      </c>
      <c r="C1609" t="s">
        <v>1098</v>
      </c>
      <c r="G1609" t="s">
        <v>2027</v>
      </c>
      <c r="I1609" t="s">
        <v>1532</v>
      </c>
    </row>
    <row r="1610" spans="1:9" x14ac:dyDescent="0.3">
      <c r="A1610" t="s">
        <v>1266</v>
      </c>
      <c r="C1610" t="s">
        <v>1099</v>
      </c>
      <c r="E1610" t="s">
        <v>3202</v>
      </c>
      <c r="G1610" t="s">
        <v>2028</v>
      </c>
      <c r="I1610" t="s">
        <v>1503</v>
      </c>
    </row>
    <row r="1611" spans="1:9" x14ac:dyDescent="0.3">
      <c r="A1611" t="s">
        <v>1269</v>
      </c>
      <c r="C1611" t="s">
        <v>1100</v>
      </c>
      <c r="G1611" t="s">
        <v>2029</v>
      </c>
    </row>
    <row r="1612" spans="1:9" x14ac:dyDescent="0.3">
      <c r="A1612" t="s">
        <v>1270</v>
      </c>
      <c r="C1612" t="s">
        <v>1101</v>
      </c>
      <c r="E1612" t="s">
        <v>3610</v>
      </c>
      <c r="G1612" t="s">
        <v>2030</v>
      </c>
      <c r="I1612" t="s">
        <v>3205</v>
      </c>
    </row>
    <row r="1613" spans="1:9" x14ac:dyDescent="0.3">
      <c r="A1613" t="s">
        <v>1271</v>
      </c>
      <c r="C1613" t="s">
        <v>1102</v>
      </c>
      <c r="E1613" t="s">
        <v>2239</v>
      </c>
      <c r="G1613" t="s">
        <v>2031</v>
      </c>
    </row>
    <row r="1614" spans="1:9" x14ac:dyDescent="0.3">
      <c r="A1614" t="s">
        <v>1272</v>
      </c>
      <c r="C1614" t="s">
        <v>1103</v>
      </c>
      <c r="E1614" t="s">
        <v>2240</v>
      </c>
      <c r="G1614" t="s">
        <v>2032</v>
      </c>
      <c r="I1614" t="s">
        <v>1168</v>
      </c>
    </row>
    <row r="1615" spans="1:9" x14ac:dyDescent="0.3">
      <c r="A1615" t="s">
        <v>1273</v>
      </c>
      <c r="C1615" t="s">
        <v>1104</v>
      </c>
      <c r="E1615" t="s">
        <v>2241</v>
      </c>
      <c r="G1615" t="s">
        <v>2029</v>
      </c>
      <c r="I1615" t="s">
        <v>1169</v>
      </c>
    </row>
    <row r="1616" spans="1:9" x14ac:dyDescent="0.3">
      <c r="A1616" t="s">
        <v>1274</v>
      </c>
      <c r="C1616" t="s">
        <v>1105</v>
      </c>
      <c r="E1616" t="s">
        <v>2242</v>
      </c>
      <c r="G1616" t="s">
        <v>2033</v>
      </c>
      <c r="I1616" t="s">
        <v>1170</v>
      </c>
    </row>
    <row r="1617" spans="1:9" x14ac:dyDescent="0.3">
      <c r="A1617" t="s">
        <v>1275</v>
      </c>
      <c r="C1617" t="s">
        <v>1106</v>
      </c>
      <c r="E1617" t="s">
        <v>2243</v>
      </c>
      <c r="G1617" t="s">
        <v>2034</v>
      </c>
      <c r="I1617" t="s">
        <v>1171</v>
      </c>
    </row>
    <row r="1618" spans="1:9" x14ac:dyDescent="0.3">
      <c r="A1618" t="s">
        <v>89</v>
      </c>
      <c r="C1618" t="s">
        <v>1107</v>
      </c>
      <c r="E1618" t="s">
        <v>3611</v>
      </c>
      <c r="G1618" t="s">
        <v>2035</v>
      </c>
      <c r="I1618" t="s">
        <v>1172</v>
      </c>
    </row>
    <row r="1619" spans="1:9" x14ac:dyDescent="0.3">
      <c r="A1619" t="s">
        <v>1276</v>
      </c>
      <c r="C1619" t="s">
        <v>1108</v>
      </c>
      <c r="E1619" t="s">
        <v>2246</v>
      </c>
      <c r="G1619" t="s">
        <v>2029</v>
      </c>
      <c r="I1619" t="s">
        <v>1173</v>
      </c>
    </row>
    <row r="1620" spans="1:9" x14ac:dyDescent="0.3">
      <c r="A1620" t="s">
        <v>1543</v>
      </c>
      <c r="C1620" t="s">
        <v>1109</v>
      </c>
      <c r="E1620" t="s">
        <v>2247</v>
      </c>
      <c r="G1620" t="s">
        <v>2036</v>
      </c>
      <c r="I1620" t="s">
        <v>1174</v>
      </c>
    </row>
    <row r="1621" spans="1:9" x14ac:dyDescent="0.3">
      <c r="C1621" t="s">
        <v>1110</v>
      </c>
      <c r="E1621" t="s">
        <v>2248</v>
      </c>
      <c r="G1621" t="s">
        <v>2037</v>
      </c>
      <c r="I1621" t="s">
        <v>1175</v>
      </c>
    </row>
    <row r="1622" spans="1:9" x14ac:dyDescent="0.3">
      <c r="C1622" t="s">
        <v>1111</v>
      </c>
      <c r="E1622" t="s">
        <v>2249</v>
      </c>
      <c r="I1622" t="s">
        <v>1176</v>
      </c>
    </row>
    <row r="1623" spans="1:9" x14ac:dyDescent="0.3">
      <c r="A1623" t="s">
        <v>1544</v>
      </c>
      <c r="C1623" t="s">
        <v>1112</v>
      </c>
      <c r="E1623" t="s">
        <v>2250</v>
      </c>
      <c r="I1623" t="s">
        <v>1177</v>
      </c>
    </row>
    <row r="1624" spans="1:9" x14ac:dyDescent="0.3">
      <c r="A1624" t="s">
        <v>1503</v>
      </c>
      <c r="C1624" t="s">
        <v>1113</v>
      </c>
      <c r="E1624" t="s">
        <v>2251</v>
      </c>
      <c r="G1624" t="s">
        <v>933</v>
      </c>
      <c r="I1624" t="s">
        <v>1180</v>
      </c>
    </row>
    <row r="1625" spans="1:9" x14ac:dyDescent="0.3">
      <c r="E1625" t="s">
        <v>2252</v>
      </c>
      <c r="G1625" t="s">
        <v>1911</v>
      </c>
      <c r="I1625" t="s">
        <v>1181</v>
      </c>
    </row>
    <row r="1626" spans="1:9" x14ac:dyDescent="0.3">
      <c r="A1626" t="s">
        <v>1278</v>
      </c>
      <c r="E1626" t="s">
        <v>2254</v>
      </c>
      <c r="I1626" t="s">
        <v>1533</v>
      </c>
    </row>
    <row r="1627" spans="1:9" x14ac:dyDescent="0.3">
      <c r="A1627" t="s">
        <v>1279</v>
      </c>
      <c r="C1627" t="s">
        <v>1114</v>
      </c>
      <c r="E1627" t="s">
        <v>3612</v>
      </c>
      <c r="G1627" t="s">
        <v>3180</v>
      </c>
    </row>
    <row r="1628" spans="1:9" x14ac:dyDescent="0.3">
      <c r="A1628" t="s">
        <v>1280</v>
      </c>
      <c r="C1628" t="s">
        <v>1503</v>
      </c>
      <c r="E1628" t="s">
        <v>3613</v>
      </c>
    </row>
    <row r="1629" spans="1:9" x14ac:dyDescent="0.3">
      <c r="A1629" t="s">
        <v>1281</v>
      </c>
      <c r="E1629" t="s">
        <v>2259</v>
      </c>
      <c r="G1629" t="s">
        <v>2033</v>
      </c>
      <c r="I1629" t="s">
        <v>1534</v>
      </c>
    </row>
    <row r="1630" spans="1:9" x14ac:dyDescent="0.3">
      <c r="A1630" t="s">
        <v>1282</v>
      </c>
      <c r="C1630" t="s">
        <v>3188</v>
      </c>
      <c r="E1630" t="s">
        <v>2260</v>
      </c>
      <c r="G1630" t="s">
        <v>2034</v>
      </c>
      <c r="I1630" t="s">
        <v>1503</v>
      </c>
    </row>
    <row r="1631" spans="1:9" x14ac:dyDescent="0.3">
      <c r="A1631" t="s">
        <v>1283</v>
      </c>
      <c r="E1631" t="s">
        <v>2261</v>
      </c>
      <c r="G1631" t="s">
        <v>2035</v>
      </c>
    </row>
    <row r="1632" spans="1:9" x14ac:dyDescent="0.3">
      <c r="A1632" t="s">
        <v>1284</v>
      </c>
      <c r="C1632" t="s">
        <v>1107</v>
      </c>
      <c r="E1632" t="s">
        <v>2262</v>
      </c>
      <c r="G1632" t="s">
        <v>2029</v>
      </c>
      <c r="I1632" t="s">
        <v>3206</v>
      </c>
    </row>
    <row r="1633" spans="1:9" x14ac:dyDescent="0.3">
      <c r="A1633" t="s">
        <v>1285</v>
      </c>
      <c r="C1633" t="s">
        <v>1108</v>
      </c>
      <c r="E1633" t="s">
        <v>2263</v>
      </c>
      <c r="G1633" t="s">
        <v>2036</v>
      </c>
    </row>
    <row r="1634" spans="1:9" x14ac:dyDescent="0.3">
      <c r="A1634" t="s">
        <v>1286</v>
      </c>
      <c r="C1634" t="s">
        <v>1109</v>
      </c>
      <c r="E1634" t="s">
        <v>2264</v>
      </c>
      <c r="G1634" t="s">
        <v>2037</v>
      </c>
      <c r="I1634" t="s">
        <v>1183</v>
      </c>
    </row>
    <row r="1635" spans="1:9" x14ac:dyDescent="0.3">
      <c r="A1635" t="s">
        <v>1287</v>
      </c>
      <c r="C1635" t="s">
        <v>1110</v>
      </c>
      <c r="E1635" t="s">
        <v>2265</v>
      </c>
      <c r="G1635" t="s">
        <v>2038</v>
      </c>
      <c r="I1635" t="s">
        <v>1184</v>
      </c>
    </row>
    <row r="1636" spans="1:9" x14ac:dyDescent="0.3">
      <c r="A1636" t="s">
        <v>1288</v>
      </c>
      <c r="C1636" t="s">
        <v>1111</v>
      </c>
      <c r="E1636" t="s">
        <v>3614</v>
      </c>
      <c r="G1636" t="s">
        <v>2035</v>
      </c>
      <c r="I1636" t="s">
        <v>1185</v>
      </c>
    </row>
    <row r="1637" spans="1:9" x14ac:dyDescent="0.3">
      <c r="A1637" t="s">
        <v>1289</v>
      </c>
      <c r="C1637" t="s">
        <v>1112</v>
      </c>
      <c r="G1637" t="s">
        <v>2039</v>
      </c>
      <c r="I1637" t="s">
        <v>1186</v>
      </c>
    </row>
    <row r="1638" spans="1:9" x14ac:dyDescent="0.3">
      <c r="A1638" t="s">
        <v>1292</v>
      </c>
      <c r="C1638" t="s">
        <v>1115</v>
      </c>
      <c r="G1638" t="s">
        <v>2040</v>
      </c>
      <c r="I1638" t="s">
        <v>1535</v>
      </c>
    </row>
    <row r="1639" spans="1:9" x14ac:dyDescent="0.3">
      <c r="A1639" t="s">
        <v>1293</v>
      </c>
      <c r="C1639" t="s">
        <v>1116</v>
      </c>
      <c r="E1639" t="s">
        <v>1528</v>
      </c>
      <c r="G1639" t="s">
        <v>2041</v>
      </c>
    </row>
    <row r="1640" spans="1:9" x14ac:dyDescent="0.3">
      <c r="A1640" t="s">
        <v>1294</v>
      </c>
      <c r="C1640" t="s">
        <v>1117</v>
      </c>
      <c r="E1640" t="s">
        <v>1911</v>
      </c>
      <c r="G1640" t="s">
        <v>2042</v>
      </c>
    </row>
    <row r="1641" spans="1:9" x14ac:dyDescent="0.3">
      <c r="A1641" t="s">
        <v>1295</v>
      </c>
      <c r="C1641" t="s">
        <v>1118</v>
      </c>
      <c r="G1641" t="s">
        <v>2043</v>
      </c>
      <c r="I1641" t="s">
        <v>1536</v>
      </c>
    </row>
    <row r="1642" spans="1:9" x14ac:dyDescent="0.3">
      <c r="A1642" t="s">
        <v>1296</v>
      </c>
      <c r="C1642" t="s">
        <v>1119</v>
      </c>
      <c r="E1642" t="s">
        <v>3203</v>
      </c>
      <c r="G1642" t="s">
        <v>2044</v>
      </c>
      <c r="I1642" t="s">
        <v>1503</v>
      </c>
    </row>
    <row r="1643" spans="1:9" x14ac:dyDescent="0.3">
      <c r="A1643" t="s">
        <v>1287</v>
      </c>
      <c r="C1643" t="s">
        <v>1120</v>
      </c>
      <c r="G1643" t="s">
        <v>2046</v>
      </c>
    </row>
    <row r="1644" spans="1:9" x14ac:dyDescent="0.3">
      <c r="A1644" t="s">
        <v>1297</v>
      </c>
      <c r="C1644" t="s">
        <v>1121</v>
      </c>
      <c r="E1644" t="s">
        <v>3615</v>
      </c>
      <c r="G1644" t="s">
        <v>2047</v>
      </c>
      <c r="I1644" t="s">
        <v>3207</v>
      </c>
    </row>
    <row r="1645" spans="1:9" x14ac:dyDescent="0.3">
      <c r="A1645" t="s">
        <v>1289</v>
      </c>
      <c r="C1645" t="s">
        <v>1122</v>
      </c>
      <c r="E1645" t="s">
        <v>2267</v>
      </c>
      <c r="G1645" t="s">
        <v>2048</v>
      </c>
    </row>
    <row r="1646" spans="1:9" x14ac:dyDescent="0.3">
      <c r="A1646" t="s">
        <v>1298</v>
      </c>
      <c r="C1646" t="s">
        <v>1123</v>
      </c>
      <c r="E1646" t="s">
        <v>2268</v>
      </c>
      <c r="G1646" t="s">
        <v>2049</v>
      </c>
      <c r="I1646" t="s">
        <v>1188</v>
      </c>
    </row>
    <row r="1647" spans="1:9" x14ac:dyDescent="0.3">
      <c r="A1647" t="s">
        <v>1299</v>
      </c>
      <c r="C1647" t="s">
        <v>1124</v>
      </c>
      <c r="E1647" t="s">
        <v>2269</v>
      </c>
      <c r="G1647" t="s">
        <v>2050</v>
      </c>
      <c r="I1647" t="s">
        <v>1189</v>
      </c>
    </row>
    <row r="1648" spans="1:9" x14ac:dyDescent="0.3">
      <c r="A1648" t="s">
        <v>1287</v>
      </c>
      <c r="C1648" t="s">
        <v>1125</v>
      </c>
      <c r="E1648">
        <v>7</v>
      </c>
      <c r="G1648" t="s">
        <v>2051</v>
      </c>
      <c r="I1648" t="s">
        <v>1190</v>
      </c>
    </row>
    <row r="1649" spans="1:9" x14ac:dyDescent="0.3">
      <c r="A1649" t="s">
        <v>1297</v>
      </c>
      <c r="C1649" t="s">
        <v>1126</v>
      </c>
      <c r="E1649" t="s">
        <v>89</v>
      </c>
      <c r="G1649" t="s">
        <v>2052</v>
      </c>
      <c r="I1649" t="s">
        <v>1191</v>
      </c>
    </row>
    <row r="1650" spans="1:9" x14ac:dyDescent="0.3">
      <c r="A1650" t="s">
        <v>1289</v>
      </c>
      <c r="C1650" t="s">
        <v>1127</v>
      </c>
      <c r="E1650" t="s">
        <v>2270</v>
      </c>
      <c r="G1650" t="s">
        <v>2053</v>
      </c>
      <c r="I1650" t="s">
        <v>1192</v>
      </c>
    </row>
    <row r="1651" spans="1:9" x14ac:dyDescent="0.3">
      <c r="A1651" t="s">
        <v>1298</v>
      </c>
      <c r="C1651" t="s">
        <v>1128</v>
      </c>
      <c r="E1651" t="s">
        <v>2271</v>
      </c>
      <c r="G1651" t="s">
        <v>2054</v>
      </c>
      <c r="I1651" t="s">
        <v>1193</v>
      </c>
    </row>
    <row r="1652" spans="1:9" x14ac:dyDescent="0.3">
      <c r="A1652" t="s">
        <v>1294</v>
      </c>
      <c r="C1652" t="s">
        <v>1129</v>
      </c>
      <c r="E1652" t="s">
        <v>2272</v>
      </c>
      <c r="G1652" t="s">
        <v>2055</v>
      </c>
      <c r="I1652" t="s">
        <v>1194</v>
      </c>
    </row>
    <row r="1653" spans="1:9" x14ac:dyDescent="0.3">
      <c r="A1653" t="s">
        <v>1295</v>
      </c>
      <c r="C1653" t="s">
        <v>1130</v>
      </c>
      <c r="E1653" t="s">
        <v>2273</v>
      </c>
      <c r="G1653" t="s">
        <v>2056</v>
      </c>
      <c r="I1653" t="s">
        <v>1195</v>
      </c>
    </row>
    <row r="1654" spans="1:9" x14ac:dyDescent="0.3">
      <c r="A1654" t="s">
        <v>1300</v>
      </c>
      <c r="C1654" t="s">
        <v>1131</v>
      </c>
      <c r="E1654" t="s">
        <v>2274</v>
      </c>
      <c r="G1654" t="s">
        <v>2057</v>
      </c>
      <c r="I1654" t="s">
        <v>1196</v>
      </c>
    </row>
    <row r="1655" spans="1:9" x14ac:dyDescent="0.3">
      <c r="A1655" t="s">
        <v>1545</v>
      </c>
      <c r="C1655" t="s">
        <v>1132</v>
      </c>
      <c r="E1655" t="s">
        <v>2275</v>
      </c>
      <c r="G1655" t="s">
        <v>2058</v>
      </c>
      <c r="I1655" t="s">
        <v>1197</v>
      </c>
    </row>
    <row r="1656" spans="1:9" x14ac:dyDescent="0.3">
      <c r="C1656" t="s">
        <v>1133</v>
      </c>
      <c r="E1656" t="s">
        <v>2276</v>
      </c>
      <c r="G1656" t="s">
        <v>2059</v>
      </c>
      <c r="I1656" t="s">
        <v>1198</v>
      </c>
    </row>
    <row r="1657" spans="1:9" x14ac:dyDescent="0.3">
      <c r="C1657" t="s">
        <v>1134</v>
      </c>
      <c r="E1657" t="s">
        <v>3616</v>
      </c>
      <c r="G1657" t="s">
        <v>2060</v>
      </c>
      <c r="I1657" t="s">
        <v>1199</v>
      </c>
    </row>
    <row r="1658" spans="1:9" x14ac:dyDescent="0.3">
      <c r="A1658" t="s">
        <v>1546</v>
      </c>
      <c r="C1658" t="s">
        <v>1135</v>
      </c>
      <c r="E1658" t="s">
        <v>2280</v>
      </c>
      <c r="G1658" t="s">
        <v>2061</v>
      </c>
      <c r="I1658" t="s">
        <v>1200</v>
      </c>
    </row>
    <row r="1659" spans="1:9" x14ac:dyDescent="0.3">
      <c r="A1659" t="s">
        <v>1503</v>
      </c>
      <c r="C1659" t="s">
        <v>1136</v>
      </c>
      <c r="E1659" t="s">
        <v>2281</v>
      </c>
      <c r="G1659">
        <v>3</v>
      </c>
      <c r="I1659" t="s">
        <v>1201</v>
      </c>
    </row>
    <row r="1660" spans="1:9" x14ac:dyDescent="0.3">
      <c r="E1660" t="s">
        <v>3617</v>
      </c>
      <c r="G1660" t="s">
        <v>89</v>
      </c>
      <c r="I1660" t="s">
        <v>1204</v>
      </c>
    </row>
    <row r="1661" spans="1:9" x14ac:dyDescent="0.3">
      <c r="A1661" t="s">
        <v>1297</v>
      </c>
      <c r="E1661" t="s">
        <v>2285</v>
      </c>
      <c r="G1661" t="s">
        <v>2062</v>
      </c>
      <c r="I1661" t="s">
        <v>1205</v>
      </c>
    </row>
    <row r="1662" spans="1:9" x14ac:dyDescent="0.3">
      <c r="A1662" t="s">
        <v>1289</v>
      </c>
      <c r="C1662" t="s">
        <v>1137</v>
      </c>
      <c r="E1662" t="s">
        <v>2286</v>
      </c>
      <c r="G1662" t="s">
        <v>2063</v>
      </c>
      <c r="I1662" t="s">
        <v>1206</v>
      </c>
    </row>
    <row r="1663" spans="1:9" x14ac:dyDescent="0.3">
      <c r="A1663" t="s">
        <v>1298</v>
      </c>
      <c r="C1663" t="s">
        <v>1503</v>
      </c>
      <c r="E1663" t="s">
        <v>3618</v>
      </c>
      <c r="G1663" t="s">
        <v>2064</v>
      </c>
      <c r="I1663" t="s">
        <v>1207</v>
      </c>
    </row>
    <row r="1664" spans="1:9" x14ac:dyDescent="0.3">
      <c r="A1664" t="s">
        <v>1294</v>
      </c>
      <c r="E1664" t="s">
        <v>2289</v>
      </c>
      <c r="G1664" t="s">
        <v>2065</v>
      </c>
      <c r="I1664" t="s">
        <v>1208</v>
      </c>
    </row>
    <row r="1665" spans="1:9" x14ac:dyDescent="0.3">
      <c r="A1665" t="s">
        <v>1295</v>
      </c>
      <c r="C1665" t="s">
        <v>3189</v>
      </c>
      <c r="E1665" t="s">
        <v>2290</v>
      </c>
      <c r="I1665" t="s">
        <v>1209</v>
      </c>
    </row>
    <row r="1666" spans="1:9" x14ac:dyDescent="0.3">
      <c r="A1666" t="s">
        <v>1300</v>
      </c>
      <c r="E1666" t="s">
        <v>2291</v>
      </c>
      <c r="I1666" t="s">
        <v>1210</v>
      </c>
    </row>
    <row r="1667" spans="1:9" x14ac:dyDescent="0.3">
      <c r="A1667" t="s">
        <v>1287</v>
      </c>
      <c r="C1667" t="s">
        <v>1131</v>
      </c>
      <c r="E1667" t="s">
        <v>2292</v>
      </c>
      <c r="G1667" t="s">
        <v>958</v>
      </c>
      <c r="I1667" t="s">
        <v>1211</v>
      </c>
    </row>
    <row r="1668" spans="1:9" x14ac:dyDescent="0.3">
      <c r="A1668" t="s">
        <v>1297</v>
      </c>
      <c r="C1668" t="s">
        <v>1132</v>
      </c>
      <c r="E1668" t="s">
        <v>2293</v>
      </c>
      <c r="G1668" t="s">
        <v>1911</v>
      </c>
      <c r="I1668" t="s">
        <v>1212</v>
      </c>
    </row>
    <row r="1669" spans="1:9" x14ac:dyDescent="0.3">
      <c r="A1669" t="s">
        <v>1289</v>
      </c>
      <c r="C1669" t="s">
        <v>1133</v>
      </c>
      <c r="E1669" t="s">
        <v>2294</v>
      </c>
      <c r="I1669" t="s">
        <v>1213</v>
      </c>
    </row>
    <row r="1670" spans="1:9" x14ac:dyDescent="0.3">
      <c r="A1670" t="s">
        <v>1298</v>
      </c>
      <c r="C1670" t="s">
        <v>1134</v>
      </c>
      <c r="E1670" t="s">
        <v>2295</v>
      </c>
      <c r="G1670" t="s">
        <v>3181</v>
      </c>
      <c r="I1670" t="s">
        <v>1214</v>
      </c>
    </row>
    <row r="1671" spans="1:9" x14ac:dyDescent="0.3">
      <c r="A1671" t="s">
        <v>1294</v>
      </c>
      <c r="C1671" t="s">
        <v>1135</v>
      </c>
      <c r="E1671" t="s">
        <v>2296</v>
      </c>
      <c r="I1671" t="s">
        <v>89</v>
      </c>
    </row>
    <row r="1672" spans="1:9" x14ac:dyDescent="0.3">
      <c r="A1672" t="s">
        <v>1295</v>
      </c>
      <c r="C1672" t="s">
        <v>1138</v>
      </c>
      <c r="E1672" t="s">
        <v>2297</v>
      </c>
      <c r="G1672" t="s">
        <v>2060</v>
      </c>
      <c r="I1672" t="s">
        <v>1537</v>
      </c>
    </row>
    <row r="1673" spans="1:9" x14ac:dyDescent="0.3">
      <c r="A1673" t="s">
        <v>1303</v>
      </c>
      <c r="C1673" t="s">
        <v>1139</v>
      </c>
      <c r="E1673" t="s">
        <v>3619</v>
      </c>
      <c r="G1673" t="s">
        <v>2061</v>
      </c>
    </row>
    <row r="1674" spans="1:9" x14ac:dyDescent="0.3">
      <c r="A1674" t="s">
        <v>1304</v>
      </c>
      <c r="C1674" t="s">
        <v>1140</v>
      </c>
      <c r="G1674">
        <v>3</v>
      </c>
    </row>
    <row r="1675" spans="1:9" x14ac:dyDescent="0.3">
      <c r="A1675" t="s">
        <v>1305</v>
      </c>
      <c r="C1675" t="s">
        <v>1141</v>
      </c>
      <c r="G1675" t="s">
        <v>89</v>
      </c>
      <c r="I1675" t="s">
        <v>1538</v>
      </c>
    </row>
    <row r="1676" spans="1:9" x14ac:dyDescent="0.3">
      <c r="A1676" t="s">
        <v>1306</v>
      </c>
      <c r="C1676" t="s">
        <v>1142</v>
      </c>
      <c r="E1676" t="s">
        <v>1530</v>
      </c>
      <c r="G1676" t="s">
        <v>2062</v>
      </c>
      <c r="I1676" t="s">
        <v>1503</v>
      </c>
    </row>
    <row r="1677" spans="1:9" x14ac:dyDescent="0.3">
      <c r="A1677" t="s">
        <v>1307</v>
      </c>
      <c r="C1677" t="s">
        <v>1143</v>
      </c>
      <c r="E1677" t="s">
        <v>1911</v>
      </c>
      <c r="G1677" t="s">
        <v>2063</v>
      </c>
    </row>
    <row r="1678" spans="1:9" x14ac:dyDescent="0.3">
      <c r="A1678" t="s">
        <v>1547</v>
      </c>
      <c r="C1678" t="s">
        <v>1144</v>
      </c>
      <c r="G1678" t="s">
        <v>2064</v>
      </c>
      <c r="I1678" t="s">
        <v>3208</v>
      </c>
    </row>
    <row r="1679" spans="1:9" x14ac:dyDescent="0.3">
      <c r="C1679" t="s">
        <v>1145</v>
      </c>
      <c r="E1679" t="s">
        <v>3204</v>
      </c>
      <c r="G1679" t="s">
        <v>2065</v>
      </c>
    </row>
    <row r="1680" spans="1:9" x14ac:dyDescent="0.3">
      <c r="C1680" t="s">
        <v>1146</v>
      </c>
      <c r="G1680" t="s">
        <v>2066</v>
      </c>
      <c r="I1680" t="s">
        <v>1216</v>
      </c>
    </row>
    <row r="1681" spans="1:9" x14ac:dyDescent="0.3">
      <c r="A1681" t="s">
        <v>1548</v>
      </c>
      <c r="C1681" t="s">
        <v>1147</v>
      </c>
      <c r="E1681" t="s">
        <v>2299</v>
      </c>
      <c r="G1681" t="s">
        <v>2067</v>
      </c>
      <c r="I1681" t="s">
        <v>1217</v>
      </c>
    </row>
    <row r="1682" spans="1:9" x14ac:dyDescent="0.3">
      <c r="A1682" t="s">
        <v>1503</v>
      </c>
      <c r="C1682" t="s">
        <v>1148</v>
      </c>
      <c r="E1682" t="s">
        <v>2300</v>
      </c>
      <c r="G1682" t="s">
        <v>2068</v>
      </c>
      <c r="I1682" t="s">
        <v>1218</v>
      </c>
    </row>
    <row r="1683" spans="1:9" x14ac:dyDescent="0.3">
      <c r="C1683" t="s">
        <v>1149</v>
      </c>
      <c r="E1683" t="s">
        <v>2301</v>
      </c>
      <c r="G1683" t="s">
        <v>2069</v>
      </c>
      <c r="I1683" t="s">
        <v>1219</v>
      </c>
    </row>
    <row r="1684" spans="1:9" x14ac:dyDescent="0.3">
      <c r="A1684" t="s">
        <v>1309</v>
      </c>
      <c r="C1684" t="s">
        <v>1150</v>
      </c>
      <c r="E1684" t="s">
        <v>2302</v>
      </c>
      <c r="G1684" t="s">
        <v>2070</v>
      </c>
      <c r="I1684" t="s">
        <v>1220</v>
      </c>
    </row>
    <row r="1685" spans="1:9" x14ac:dyDescent="0.3">
      <c r="A1685" t="s">
        <v>1310</v>
      </c>
      <c r="C1685" t="s">
        <v>1151</v>
      </c>
      <c r="E1685" t="s">
        <v>3620</v>
      </c>
      <c r="G1685" t="s">
        <v>2071</v>
      </c>
      <c r="I1685" t="s">
        <v>1221</v>
      </c>
    </row>
    <row r="1686" spans="1:9" x14ac:dyDescent="0.3">
      <c r="A1686" t="s">
        <v>1311</v>
      </c>
      <c r="C1686" t="s">
        <v>1152</v>
      </c>
      <c r="E1686" t="s">
        <v>2305</v>
      </c>
      <c r="G1686" t="s">
        <v>2073</v>
      </c>
      <c r="I1686" t="s">
        <v>1222</v>
      </c>
    </row>
    <row r="1687" spans="1:9" x14ac:dyDescent="0.3">
      <c r="A1687" t="s">
        <v>1549</v>
      </c>
      <c r="C1687" t="s">
        <v>1153</v>
      </c>
      <c r="E1687" t="s">
        <v>2306</v>
      </c>
      <c r="G1687" t="s">
        <v>2074</v>
      </c>
      <c r="I1687" t="s">
        <v>1223</v>
      </c>
    </row>
    <row r="1688" spans="1:9" x14ac:dyDescent="0.3">
      <c r="C1688" t="s">
        <v>89</v>
      </c>
      <c r="E1688" t="s">
        <v>2307</v>
      </c>
      <c r="G1688" t="s">
        <v>2075</v>
      </c>
      <c r="I1688" t="s">
        <v>1224</v>
      </c>
    </row>
    <row r="1689" spans="1:9" x14ac:dyDescent="0.3">
      <c r="C1689" t="s">
        <v>1154</v>
      </c>
      <c r="E1689" t="s">
        <v>2308</v>
      </c>
      <c r="G1689" t="e">
        <f>- la società si propone di realizzare il fine sociale anche</f>
        <v>#NAME?</v>
      </c>
      <c r="I1689" t="s">
        <v>1227</v>
      </c>
    </row>
    <row r="1690" spans="1:9" x14ac:dyDescent="0.3">
      <c r="A1690" t="s">
        <v>1550</v>
      </c>
      <c r="C1690" t="s">
        <v>1155</v>
      </c>
      <c r="E1690" t="s">
        <v>2309</v>
      </c>
      <c r="G1690" t="s">
        <v>2076</v>
      </c>
      <c r="I1690" t="s">
        <v>1228</v>
      </c>
    </row>
    <row r="1691" spans="1:9" x14ac:dyDescent="0.3">
      <c r="A1691" t="s">
        <v>1503</v>
      </c>
      <c r="C1691" t="s">
        <v>1156</v>
      </c>
      <c r="E1691" t="s">
        <v>2310</v>
      </c>
      <c r="G1691" t="s">
        <v>2077</v>
      </c>
      <c r="I1691" t="s">
        <v>1229</v>
      </c>
    </row>
    <row r="1692" spans="1:9" x14ac:dyDescent="0.3">
      <c r="C1692" t="s">
        <v>1157</v>
      </c>
      <c r="E1692" t="s">
        <v>2311</v>
      </c>
      <c r="G1692" t="s">
        <v>2078</v>
      </c>
      <c r="I1692" t="s">
        <v>1230</v>
      </c>
    </row>
    <row r="1693" spans="1:9" x14ac:dyDescent="0.3">
      <c r="A1693" t="s">
        <v>1313</v>
      </c>
      <c r="E1693" t="s">
        <v>2312</v>
      </c>
      <c r="G1693" t="s">
        <v>2079</v>
      </c>
      <c r="I1693" t="s">
        <v>1231</v>
      </c>
    </row>
    <row r="1694" spans="1:9" x14ac:dyDescent="0.3">
      <c r="A1694" t="s">
        <v>1314</v>
      </c>
      <c r="E1694" t="s">
        <v>3621</v>
      </c>
      <c r="G1694" t="s">
        <v>2080</v>
      </c>
      <c r="I1694" t="s">
        <v>1232</v>
      </c>
    </row>
    <row r="1695" spans="1:9" x14ac:dyDescent="0.3">
      <c r="A1695" t="s">
        <v>1315</v>
      </c>
      <c r="C1695" t="s">
        <v>1158</v>
      </c>
      <c r="E1695" t="s">
        <v>3441</v>
      </c>
      <c r="G1695" t="s">
        <v>2081</v>
      </c>
      <c r="I1695" t="s">
        <v>1233</v>
      </c>
    </row>
    <row r="1696" spans="1:9" x14ac:dyDescent="0.3">
      <c r="A1696" t="s">
        <v>1316</v>
      </c>
      <c r="C1696" t="s">
        <v>1503</v>
      </c>
      <c r="E1696" t="s">
        <v>2317</v>
      </c>
      <c r="G1696" t="s">
        <v>2082</v>
      </c>
      <c r="I1696" t="s">
        <v>1234</v>
      </c>
    </row>
    <row r="1697" spans="1:9" x14ac:dyDescent="0.3">
      <c r="A1697" t="s">
        <v>1317</v>
      </c>
      <c r="E1697" t="s">
        <v>2318</v>
      </c>
      <c r="G1697" t="s">
        <v>2083</v>
      </c>
      <c r="I1697" t="s">
        <v>1235</v>
      </c>
    </row>
    <row r="1698" spans="1:9" x14ac:dyDescent="0.3">
      <c r="A1698" t="s">
        <v>1318</v>
      </c>
      <c r="C1698" t="s">
        <v>3190</v>
      </c>
      <c r="E1698" t="s">
        <v>2319</v>
      </c>
      <c r="G1698" t="s">
        <v>2084</v>
      </c>
      <c r="I1698" t="s">
        <v>1236</v>
      </c>
    </row>
    <row r="1699" spans="1:9" x14ac:dyDescent="0.3">
      <c r="A1699" t="s">
        <v>1319</v>
      </c>
      <c r="E1699" t="s">
        <v>2320</v>
      </c>
      <c r="G1699" t="s">
        <v>2085</v>
      </c>
      <c r="I1699" t="s">
        <v>1237</v>
      </c>
    </row>
    <row r="1700" spans="1:9" x14ac:dyDescent="0.3">
      <c r="A1700" t="s">
        <v>1320</v>
      </c>
      <c r="C1700" t="s">
        <v>1153</v>
      </c>
      <c r="E1700" t="s">
        <v>2321</v>
      </c>
      <c r="G1700" t="s">
        <v>2086</v>
      </c>
      <c r="I1700" t="s">
        <v>1238</v>
      </c>
    </row>
    <row r="1701" spans="1:9" x14ac:dyDescent="0.3">
      <c r="A1701" t="s">
        <v>89</v>
      </c>
      <c r="C1701" t="s">
        <v>89</v>
      </c>
      <c r="E1701" t="s">
        <v>3622</v>
      </c>
      <c r="G1701" t="s">
        <v>2087</v>
      </c>
      <c r="I1701" t="s">
        <v>1239</v>
      </c>
    </row>
    <row r="1702" spans="1:9" x14ac:dyDescent="0.3">
      <c r="A1702" t="s">
        <v>1551</v>
      </c>
      <c r="C1702" t="s">
        <v>1154</v>
      </c>
      <c r="E1702" t="s">
        <v>89</v>
      </c>
      <c r="G1702" t="s">
        <v>2088</v>
      </c>
      <c r="I1702" t="s">
        <v>1240</v>
      </c>
    </row>
    <row r="1703" spans="1:9" x14ac:dyDescent="0.3">
      <c r="C1703" t="s">
        <v>1155</v>
      </c>
      <c r="E1703" t="s">
        <v>2322</v>
      </c>
      <c r="G1703" t="s">
        <v>2089</v>
      </c>
      <c r="I1703" t="s">
        <v>1539</v>
      </c>
    </row>
    <row r="1704" spans="1:9" x14ac:dyDescent="0.3">
      <c r="C1704" t="s">
        <v>1156</v>
      </c>
      <c r="E1704" t="s">
        <v>2323</v>
      </c>
      <c r="G1704" t="s">
        <v>2090</v>
      </c>
    </row>
    <row r="1705" spans="1:9" x14ac:dyDescent="0.3">
      <c r="A1705" t="s">
        <v>1552</v>
      </c>
      <c r="C1705" t="s">
        <v>1159</v>
      </c>
      <c r="E1705" t="s">
        <v>2324</v>
      </c>
      <c r="G1705" t="s">
        <v>2091</v>
      </c>
    </row>
    <row r="1706" spans="1:9" x14ac:dyDescent="0.3">
      <c r="A1706" t="s">
        <v>1503</v>
      </c>
      <c r="C1706" t="s">
        <v>1160</v>
      </c>
      <c r="E1706" t="s">
        <v>3623</v>
      </c>
      <c r="G1706" t="s">
        <v>2092</v>
      </c>
      <c r="I1706" t="s">
        <v>1540</v>
      </c>
    </row>
    <row r="1707" spans="1:9" x14ac:dyDescent="0.3">
      <c r="C1707" t="s">
        <v>1161</v>
      </c>
      <c r="E1707" t="s">
        <v>2327</v>
      </c>
      <c r="G1707" t="s">
        <v>2093</v>
      </c>
      <c r="I1707" t="s">
        <v>1503</v>
      </c>
    </row>
    <row r="1708" spans="1:9" x14ac:dyDescent="0.3">
      <c r="A1708" t="s">
        <v>1324</v>
      </c>
      <c r="C1708" t="s">
        <v>1162</v>
      </c>
      <c r="E1708" t="s">
        <v>2328</v>
      </c>
    </row>
    <row r="1709" spans="1:9" x14ac:dyDescent="0.3">
      <c r="A1709" t="s">
        <v>1325</v>
      </c>
      <c r="C1709" t="s">
        <v>1163</v>
      </c>
      <c r="I1709" t="s">
        <v>3209</v>
      </c>
    </row>
    <row r="1710" spans="1:9" x14ac:dyDescent="0.3">
      <c r="A1710" t="s">
        <v>1326</v>
      </c>
      <c r="C1710" t="s">
        <v>1164</v>
      </c>
      <c r="G1710" t="s">
        <v>979</v>
      </c>
    </row>
    <row r="1711" spans="1:9" x14ac:dyDescent="0.3">
      <c r="A1711" t="s">
        <v>1327</v>
      </c>
      <c r="C1711" t="s">
        <v>1165</v>
      </c>
      <c r="E1711" t="s">
        <v>1532</v>
      </c>
      <c r="G1711" t="s">
        <v>1911</v>
      </c>
      <c r="I1711" t="s">
        <v>1236</v>
      </c>
    </row>
    <row r="1712" spans="1:9" x14ac:dyDescent="0.3">
      <c r="A1712" t="s">
        <v>1328</v>
      </c>
      <c r="C1712" t="s">
        <v>1166</v>
      </c>
      <c r="E1712" t="s">
        <v>1911</v>
      </c>
      <c r="I1712" t="s">
        <v>1237</v>
      </c>
    </row>
    <row r="1713" spans="1:9" x14ac:dyDescent="0.3">
      <c r="A1713" t="s">
        <v>89</v>
      </c>
      <c r="C1713" t="s">
        <v>1167</v>
      </c>
      <c r="G1713" t="s">
        <v>3182</v>
      </c>
      <c r="I1713" t="s">
        <v>1238</v>
      </c>
    </row>
    <row r="1714" spans="1:9" x14ac:dyDescent="0.3">
      <c r="A1714" t="s">
        <v>1329</v>
      </c>
      <c r="C1714" t="s">
        <v>1168</v>
      </c>
      <c r="E1714" t="s">
        <v>3205</v>
      </c>
      <c r="I1714" t="s">
        <v>1239</v>
      </c>
    </row>
    <row r="1715" spans="1:9" x14ac:dyDescent="0.3">
      <c r="A1715" t="s">
        <v>1330</v>
      </c>
      <c r="C1715" t="s">
        <v>1169</v>
      </c>
      <c r="G1715" t="s">
        <v>2087</v>
      </c>
      <c r="I1715" t="s">
        <v>1240</v>
      </c>
    </row>
    <row r="1716" spans="1:9" x14ac:dyDescent="0.3">
      <c r="A1716" t="s">
        <v>1331</v>
      </c>
      <c r="C1716" t="s">
        <v>1170</v>
      </c>
      <c r="E1716" t="s">
        <v>2329</v>
      </c>
      <c r="G1716" t="s">
        <v>2088</v>
      </c>
      <c r="I1716" t="s">
        <v>1241</v>
      </c>
    </row>
    <row r="1717" spans="1:9" x14ac:dyDescent="0.3">
      <c r="A1717" t="s">
        <v>1332</v>
      </c>
      <c r="C1717" t="s">
        <v>1171</v>
      </c>
      <c r="E1717" t="s">
        <v>2330</v>
      </c>
      <c r="G1717" t="s">
        <v>2089</v>
      </c>
      <c r="I1717" t="s">
        <v>1242</v>
      </c>
    </row>
    <row r="1718" spans="1:9" x14ac:dyDescent="0.3">
      <c r="C1718" t="s">
        <v>1172</v>
      </c>
      <c r="E1718" t="s">
        <v>2331</v>
      </c>
      <c r="G1718" t="s">
        <v>2090</v>
      </c>
      <c r="I1718" t="s">
        <v>1243</v>
      </c>
    </row>
    <row r="1719" spans="1:9" x14ac:dyDescent="0.3">
      <c r="C1719" t="s">
        <v>1173</v>
      </c>
      <c r="E1719" t="s">
        <v>3624</v>
      </c>
      <c r="G1719" t="s">
        <v>2091</v>
      </c>
      <c r="I1719" t="s">
        <v>1244</v>
      </c>
    </row>
    <row r="1720" spans="1:9" x14ac:dyDescent="0.3">
      <c r="A1720" t="s">
        <v>1553</v>
      </c>
      <c r="C1720" t="s">
        <v>1174</v>
      </c>
      <c r="E1720" t="s">
        <v>2335</v>
      </c>
      <c r="G1720" t="s">
        <v>2092</v>
      </c>
      <c r="I1720" t="s">
        <v>1247</v>
      </c>
    </row>
    <row r="1721" spans="1:9" x14ac:dyDescent="0.3">
      <c r="A1721" t="s">
        <v>1554</v>
      </c>
      <c r="C1721" t="s">
        <v>1175</v>
      </c>
      <c r="E1721" t="s">
        <v>2336</v>
      </c>
      <c r="G1721" t="s">
        <v>2093</v>
      </c>
      <c r="I1721" t="s">
        <v>1248</v>
      </c>
    </row>
    <row r="1722" spans="1:9" x14ac:dyDescent="0.3">
      <c r="C1722" t="s">
        <v>1176</v>
      </c>
      <c r="E1722" t="s">
        <v>2337</v>
      </c>
      <c r="G1722" t="s">
        <v>2094</v>
      </c>
      <c r="I1722" t="s">
        <v>1249</v>
      </c>
    </row>
    <row r="1723" spans="1:9" x14ac:dyDescent="0.3">
      <c r="A1723" t="s">
        <v>1335</v>
      </c>
      <c r="C1723" t="s">
        <v>1177</v>
      </c>
      <c r="E1723" t="s">
        <v>3625</v>
      </c>
      <c r="G1723" t="s">
        <v>3436</v>
      </c>
      <c r="I1723" t="s">
        <v>1250</v>
      </c>
    </row>
    <row r="1724" spans="1:9" x14ac:dyDescent="0.3">
      <c r="A1724" t="s">
        <v>1555</v>
      </c>
      <c r="C1724" t="s">
        <v>1178</v>
      </c>
      <c r="E1724" t="s">
        <v>2341</v>
      </c>
      <c r="G1724" t="s">
        <v>2097</v>
      </c>
      <c r="I1724" t="s">
        <v>1251</v>
      </c>
    </row>
    <row r="1725" spans="1:9" x14ac:dyDescent="0.3">
      <c r="A1725" t="s">
        <v>1556</v>
      </c>
      <c r="E1725" t="s">
        <v>2342</v>
      </c>
      <c r="G1725" t="s">
        <v>2098</v>
      </c>
      <c r="I1725" t="s">
        <v>1252</v>
      </c>
    </row>
    <row r="1726" spans="1:9" x14ac:dyDescent="0.3">
      <c r="E1726" t="s">
        <v>3626</v>
      </c>
      <c r="G1726" t="s">
        <v>2099</v>
      </c>
      <c r="I1726" t="s">
        <v>1253</v>
      </c>
    </row>
    <row r="1727" spans="1:9" x14ac:dyDescent="0.3">
      <c r="C1727" t="s">
        <v>1179</v>
      </c>
      <c r="E1727" t="s">
        <v>2345</v>
      </c>
      <c r="G1727" t="s">
        <v>3437</v>
      </c>
      <c r="I1727" t="s">
        <v>1254</v>
      </c>
    </row>
    <row r="1728" spans="1:9" x14ac:dyDescent="0.3">
      <c r="A1728" t="s">
        <v>1557</v>
      </c>
      <c r="C1728" t="s">
        <v>1503</v>
      </c>
      <c r="E1728" t="s">
        <v>2346</v>
      </c>
      <c r="G1728" t="s">
        <v>2102</v>
      </c>
      <c r="I1728" t="s">
        <v>1255</v>
      </c>
    </row>
    <row r="1729" spans="1:9" x14ac:dyDescent="0.3">
      <c r="A1729" t="s">
        <v>1554</v>
      </c>
      <c r="E1729" t="s">
        <v>2347</v>
      </c>
      <c r="G1729" t="s">
        <v>2103</v>
      </c>
      <c r="I1729" t="s">
        <v>1256</v>
      </c>
    </row>
    <row r="1730" spans="1:9" x14ac:dyDescent="0.3">
      <c r="C1730" t="s">
        <v>3191</v>
      </c>
      <c r="E1730" t="s">
        <v>3627</v>
      </c>
      <c r="G1730" t="s">
        <v>2104</v>
      </c>
      <c r="I1730" t="s">
        <v>1257</v>
      </c>
    </row>
    <row r="1731" spans="1:9" x14ac:dyDescent="0.3">
      <c r="A1731" t="s">
        <v>1558</v>
      </c>
      <c r="E1731" t="s">
        <v>3628</v>
      </c>
      <c r="G1731" t="s">
        <v>2105</v>
      </c>
      <c r="I1731" t="s">
        <v>1258</v>
      </c>
    </row>
    <row r="1732" spans="1:9" x14ac:dyDescent="0.3">
      <c r="A1732" t="s">
        <v>1559</v>
      </c>
      <c r="C1732" t="s">
        <v>1174</v>
      </c>
      <c r="E1732" t="s">
        <v>2352</v>
      </c>
      <c r="G1732" t="s">
        <v>2106</v>
      </c>
      <c r="I1732" t="s">
        <v>1259</v>
      </c>
    </row>
    <row r="1733" spans="1:9" x14ac:dyDescent="0.3">
      <c r="A1733" t="s">
        <v>1560</v>
      </c>
      <c r="C1733" t="s">
        <v>1175</v>
      </c>
      <c r="E1733" t="s">
        <v>2353</v>
      </c>
      <c r="G1733" t="s">
        <v>2107</v>
      </c>
      <c r="I1733" t="s">
        <v>1260</v>
      </c>
    </row>
    <row r="1734" spans="1:9" x14ac:dyDescent="0.3">
      <c r="A1734" t="s">
        <v>1561</v>
      </c>
      <c r="C1734" t="s">
        <v>1176</v>
      </c>
      <c r="E1734" t="s">
        <v>2354</v>
      </c>
      <c r="G1734" t="s">
        <v>2108</v>
      </c>
      <c r="I1734" t="s">
        <v>1261</v>
      </c>
    </row>
    <row r="1735" spans="1:9" x14ac:dyDescent="0.3">
      <c r="A1735" t="s">
        <v>1562</v>
      </c>
      <c r="C1735" t="s">
        <v>1177</v>
      </c>
      <c r="E1735" t="s">
        <v>3629</v>
      </c>
      <c r="G1735" t="s">
        <v>2109</v>
      </c>
      <c r="I1735" t="s">
        <v>1262</v>
      </c>
    </row>
    <row r="1736" spans="1:9" x14ac:dyDescent="0.3">
      <c r="A1736" t="s">
        <v>1563</v>
      </c>
      <c r="C1736" t="s">
        <v>1180</v>
      </c>
      <c r="E1736" t="s">
        <v>3630</v>
      </c>
      <c r="G1736" t="s">
        <v>2110</v>
      </c>
      <c r="I1736" t="s">
        <v>1541</v>
      </c>
    </row>
    <row r="1737" spans="1:9" x14ac:dyDescent="0.3">
      <c r="A1737" t="s">
        <v>1564</v>
      </c>
      <c r="C1737" t="s">
        <v>1181</v>
      </c>
      <c r="E1737" t="s">
        <v>3631</v>
      </c>
      <c r="G1737" t="s">
        <v>2111</v>
      </c>
    </row>
    <row r="1738" spans="1:9" x14ac:dyDescent="0.3">
      <c r="A1738" t="s">
        <v>1565</v>
      </c>
      <c r="C1738" t="s">
        <v>1182</v>
      </c>
      <c r="E1738" t="s">
        <v>2361</v>
      </c>
      <c r="G1738" t="s">
        <v>2112</v>
      </c>
    </row>
    <row r="1739" spans="1:9" x14ac:dyDescent="0.3">
      <c r="A1739" t="s">
        <v>1566</v>
      </c>
      <c r="C1739" t="s">
        <v>1183</v>
      </c>
      <c r="E1739" t="s">
        <v>2362</v>
      </c>
      <c r="G1739" t="s">
        <v>2113</v>
      </c>
      <c r="I1739" t="s">
        <v>1542</v>
      </c>
    </row>
    <row r="1740" spans="1:9" x14ac:dyDescent="0.3">
      <c r="A1740" t="s">
        <v>1567</v>
      </c>
      <c r="C1740" t="s">
        <v>1184</v>
      </c>
      <c r="E1740" t="s">
        <v>2501</v>
      </c>
      <c r="G1740">
        <v>4</v>
      </c>
      <c r="I1740" t="s">
        <v>1503</v>
      </c>
    </row>
    <row r="1741" spans="1:9" x14ac:dyDescent="0.3">
      <c r="A1741" t="s">
        <v>1568</v>
      </c>
      <c r="C1741" t="s">
        <v>1185</v>
      </c>
      <c r="G1741" t="s">
        <v>89</v>
      </c>
    </row>
    <row r="1742" spans="1:9" x14ac:dyDescent="0.3">
      <c r="A1742" t="s">
        <v>1569</v>
      </c>
      <c r="C1742" t="s">
        <v>1186</v>
      </c>
      <c r="G1742" t="s">
        <v>2114</v>
      </c>
      <c r="I1742" t="s">
        <v>3210</v>
      </c>
    </row>
    <row r="1743" spans="1:9" x14ac:dyDescent="0.3">
      <c r="A1743" t="s">
        <v>1570</v>
      </c>
      <c r="C1743" t="s">
        <v>1187</v>
      </c>
      <c r="E1743" t="s">
        <v>1534</v>
      </c>
      <c r="G1743" t="s">
        <v>2115</v>
      </c>
    </row>
    <row r="1744" spans="1:9" x14ac:dyDescent="0.3">
      <c r="A1744" t="s">
        <v>1571</v>
      </c>
      <c r="C1744" t="s">
        <v>1188</v>
      </c>
      <c r="E1744" t="s">
        <v>1911</v>
      </c>
      <c r="G1744" t="s">
        <v>2116</v>
      </c>
      <c r="I1744" t="s">
        <v>1258</v>
      </c>
    </row>
    <row r="1745" spans="1:9" x14ac:dyDescent="0.3">
      <c r="A1745" t="s">
        <v>1572</v>
      </c>
      <c r="C1745" t="s">
        <v>1189</v>
      </c>
      <c r="G1745" t="s">
        <v>2117</v>
      </c>
      <c r="I1745" t="s">
        <v>1259</v>
      </c>
    </row>
    <row r="1746" spans="1:9" x14ac:dyDescent="0.3">
      <c r="A1746" t="s">
        <v>1573</v>
      </c>
      <c r="C1746" t="s">
        <v>1190</v>
      </c>
      <c r="E1746" t="s">
        <v>3206</v>
      </c>
      <c r="G1746" t="s">
        <v>2118</v>
      </c>
      <c r="I1746" t="s">
        <v>1260</v>
      </c>
    </row>
    <row r="1747" spans="1:9" x14ac:dyDescent="0.3">
      <c r="A1747" t="s">
        <v>1574</v>
      </c>
      <c r="C1747" t="s">
        <v>1191</v>
      </c>
      <c r="G1747" t="s">
        <v>2119</v>
      </c>
      <c r="I1747" t="s">
        <v>1261</v>
      </c>
    </row>
    <row r="1748" spans="1:9" x14ac:dyDescent="0.3">
      <c r="A1748" t="s">
        <v>1575</v>
      </c>
      <c r="C1748" t="s">
        <v>1192</v>
      </c>
      <c r="E1748" t="s">
        <v>2363</v>
      </c>
      <c r="G1748" t="s">
        <v>2120</v>
      </c>
      <c r="I1748" t="s">
        <v>1262</v>
      </c>
    </row>
    <row r="1749" spans="1:9" x14ac:dyDescent="0.3">
      <c r="A1749" t="s">
        <v>1576</v>
      </c>
      <c r="C1749" t="s">
        <v>1193</v>
      </c>
      <c r="E1749" t="s">
        <v>2364</v>
      </c>
      <c r="G1749" t="s">
        <v>2121</v>
      </c>
      <c r="I1749" t="s">
        <v>1263</v>
      </c>
    </row>
    <row r="1750" spans="1:9" x14ac:dyDescent="0.3">
      <c r="C1750" t="s">
        <v>1194</v>
      </c>
      <c r="E1750" t="s">
        <v>2365</v>
      </c>
      <c r="G1750" t="s">
        <v>2122</v>
      </c>
      <c r="I1750" t="s">
        <v>1264</v>
      </c>
    </row>
    <row r="1751" spans="1:9" x14ac:dyDescent="0.3">
      <c r="C1751" t="s">
        <v>1195</v>
      </c>
      <c r="E1751" t="s">
        <v>3632</v>
      </c>
      <c r="G1751" t="s">
        <v>2123</v>
      </c>
      <c r="I1751" t="s">
        <v>1265</v>
      </c>
    </row>
    <row r="1752" spans="1:9" x14ac:dyDescent="0.3">
      <c r="A1752" t="s">
        <v>1577</v>
      </c>
      <c r="C1752" t="s">
        <v>1196</v>
      </c>
      <c r="E1752" t="s">
        <v>2368</v>
      </c>
      <c r="G1752" t="s">
        <v>3965</v>
      </c>
      <c r="I1752" t="s">
        <v>1266</v>
      </c>
    </row>
    <row r="1753" spans="1:9" x14ac:dyDescent="0.3">
      <c r="A1753" t="s">
        <v>1554</v>
      </c>
      <c r="C1753" t="s">
        <v>1197</v>
      </c>
      <c r="E1753" t="s">
        <v>3633</v>
      </c>
      <c r="I1753" t="s">
        <v>1269</v>
      </c>
    </row>
    <row r="1754" spans="1:9" x14ac:dyDescent="0.3">
      <c r="C1754" t="s">
        <v>1198</v>
      </c>
      <c r="E1754" t="s">
        <v>2370</v>
      </c>
      <c r="I1754" t="s">
        <v>1270</v>
      </c>
    </row>
    <row r="1755" spans="1:9" x14ac:dyDescent="0.3">
      <c r="A1755" t="s">
        <v>1573</v>
      </c>
      <c r="C1755" t="s">
        <v>1199</v>
      </c>
      <c r="E1755" t="s">
        <v>2371</v>
      </c>
      <c r="G1755" t="s">
        <v>1000</v>
      </c>
      <c r="I1755" t="s">
        <v>1271</v>
      </c>
    </row>
    <row r="1756" spans="1:9" x14ac:dyDescent="0.3">
      <c r="A1756" t="s">
        <v>1574</v>
      </c>
      <c r="C1756" t="s">
        <v>1200</v>
      </c>
      <c r="E1756">
        <v>9</v>
      </c>
      <c r="G1756" t="s">
        <v>1911</v>
      </c>
      <c r="I1756" t="s">
        <v>1272</v>
      </c>
    </row>
    <row r="1757" spans="1:9" x14ac:dyDescent="0.3">
      <c r="A1757" t="s">
        <v>1575</v>
      </c>
      <c r="C1757" t="s">
        <v>1201</v>
      </c>
      <c r="E1757" t="s">
        <v>89</v>
      </c>
      <c r="I1757" t="s">
        <v>1273</v>
      </c>
    </row>
    <row r="1758" spans="1:9" x14ac:dyDescent="0.3">
      <c r="A1758" t="s">
        <v>1576</v>
      </c>
      <c r="C1758" t="s">
        <v>1202</v>
      </c>
      <c r="E1758" t="s">
        <v>2372</v>
      </c>
      <c r="G1758" t="s">
        <v>3183</v>
      </c>
      <c r="I1758" t="s">
        <v>1274</v>
      </c>
    </row>
    <row r="1759" spans="1:9" x14ac:dyDescent="0.3">
      <c r="A1759" t="s">
        <v>1578</v>
      </c>
      <c r="E1759" t="s">
        <v>3634</v>
      </c>
      <c r="I1759" t="s">
        <v>1275</v>
      </c>
    </row>
    <row r="1760" spans="1:9" x14ac:dyDescent="0.3">
      <c r="A1760" t="s">
        <v>1579</v>
      </c>
      <c r="E1760" t="s">
        <v>2376</v>
      </c>
      <c r="G1760" t="s">
        <v>2118</v>
      </c>
      <c r="I1760" t="s">
        <v>89</v>
      </c>
    </row>
    <row r="1761" spans="1:9" x14ac:dyDescent="0.3">
      <c r="A1761" t="s">
        <v>1580</v>
      </c>
      <c r="C1761" t="s">
        <v>1203</v>
      </c>
      <c r="E1761" t="s">
        <v>2377</v>
      </c>
      <c r="G1761" t="s">
        <v>2119</v>
      </c>
      <c r="I1761" t="s">
        <v>1276</v>
      </c>
    </row>
    <row r="1762" spans="1:9" x14ac:dyDescent="0.3">
      <c r="A1762" t="s">
        <v>1581</v>
      </c>
      <c r="C1762" t="s">
        <v>1503</v>
      </c>
      <c r="E1762" t="s">
        <v>2378</v>
      </c>
      <c r="G1762" t="s">
        <v>2120</v>
      </c>
      <c r="I1762" t="s">
        <v>1543</v>
      </c>
    </row>
    <row r="1763" spans="1:9" x14ac:dyDescent="0.3">
      <c r="A1763" t="s">
        <v>1582</v>
      </c>
      <c r="E1763" t="s">
        <v>2379</v>
      </c>
      <c r="G1763" t="s">
        <v>2121</v>
      </c>
    </row>
    <row r="1764" spans="1:9" x14ac:dyDescent="0.3">
      <c r="A1764" t="s">
        <v>1583</v>
      </c>
      <c r="C1764" t="s">
        <v>3192</v>
      </c>
      <c r="E1764" t="s">
        <v>2380</v>
      </c>
      <c r="G1764" t="s">
        <v>2122</v>
      </c>
    </row>
    <row r="1765" spans="1:9" x14ac:dyDescent="0.3">
      <c r="A1765" t="s">
        <v>1584</v>
      </c>
      <c r="E1765" t="s">
        <v>2381</v>
      </c>
      <c r="G1765" t="s">
        <v>2123</v>
      </c>
      <c r="I1765" t="s">
        <v>1544</v>
      </c>
    </row>
    <row r="1766" spans="1:9" x14ac:dyDescent="0.3">
      <c r="A1766" t="s">
        <v>1585</v>
      </c>
      <c r="C1766" t="s">
        <v>1197</v>
      </c>
      <c r="E1766" t="s">
        <v>2382</v>
      </c>
      <c r="G1766" t="s">
        <v>2124</v>
      </c>
      <c r="I1766" t="s">
        <v>1503</v>
      </c>
    </row>
    <row r="1767" spans="1:9" x14ac:dyDescent="0.3">
      <c r="A1767" t="s">
        <v>1586</v>
      </c>
      <c r="C1767" t="s">
        <v>1198</v>
      </c>
      <c r="E1767" t="s">
        <v>3635</v>
      </c>
      <c r="G1767" t="s">
        <v>2125</v>
      </c>
    </row>
    <row r="1768" spans="1:9" x14ac:dyDescent="0.3">
      <c r="A1768" t="s">
        <v>89</v>
      </c>
      <c r="C1768" t="s">
        <v>1199</v>
      </c>
      <c r="E1768" t="s">
        <v>2385</v>
      </c>
      <c r="G1768" t="s">
        <v>2126</v>
      </c>
      <c r="I1768" t="s">
        <v>3211</v>
      </c>
    </row>
    <row r="1769" spans="1:9" x14ac:dyDescent="0.3">
      <c r="A1769" t="s">
        <v>1587</v>
      </c>
      <c r="C1769" t="s">
        <v>1200</v>
      </c>
      <c r="E1769" t="s">
        <v>3636</v>
      </c>
      <c r="G1769" t="s">
        <v>2127</v>
      </c>
    </row>
    <row r="1770" spans="1:9" x14ac:dyDescent="0.3">
      <c r="A1770" t="s">
        <v>1588</v>
      </c>
      <c r="C1770" t="s">
        <v>1201</v>
      </c>
      <c r="E1770" t="s">
        <v>2388</v>
      </c>
      <c r="G1770" t="s">
        <v>2128</v>
      </c>
      <c r="I1770" t="s">
        <v>1278</v>
      </c>
    </row>
    <row r="1771" spans="1:9" x14ac:dyDescent="0.3">
      <c r="A1771" t="s">
        <v>1589</v>
      </c>
      <c r="C1771" t="s">
        <v>1204</v>
      </c>
      <c r="E1771" t="s">
        <v>2389</v>
      </c>
      <c r="G1771" t="s">
        <v>2129</v>
      </c>
      <c r="I1771" t="s">
        <v>1279</v>
      </c>
    </row>
    <row r="1772" spans="1:9" x14ac:dyDescent="0.3">
      <c r="A1772" t="s">
        <v>1590</v>
      </c>
      <c r="C1772" t="s">
        <v>1205</v>
      </c>
      <c r="E1772" t="s">
        <v>3637</v>
      </c>
      <c r="G1772" t="s">
        <v>2130</v>
      </c>
      <c r="I1772" t="s">
        <v>1280</v>
      </c>
    </row>
    <row r="1773" spans="1:9" x14ac:dyDescent="0.3">
      <c r="A1773" t="s">
        <v>1591</v>
      </c>
      <c r="C1773" t="s">
        <v>1206</v>
      </c>
      <c r="E1773" t="s">
        <v>3638</v>
      </c>
      <c r="G1773" t="s">
        <v>2131</v>
      </c>
      <c r="I1773" t="s">
        <v>1281</v>
      </c>
    </row>
    <row r="1774" spans="1:9" x14ac:dyDescent="0.3">
      <c r="A1774" t="s">
        <v>1592</v>
      </c>
      <c r="C1774" t="s">
        <v>1207</v>
      </c>
      <c r="G1774" t="s">
        <v>2132</v>
      </c>
      <c r="I1774" t="s">
        <v>1282</v>
      </c>
    </row>
    <row r="1775" spans="1:9" x14ac:dyDescent="0.3">
      <c r="C1775" t="s">
        <v>1208</v>
      </c>
      <c r="G1775" t="s">
        <v>2133</v>
      </c>
      <c r="I1775" t="s">
        <v>1283</v>
      </c>
    </row>
    <row r="1776" spans="1:9" x14ac:dyDescent="0.3">
      <c r="C1776" t="s">
        <v>1209</v>
      </c>
      <c r="E1776" t="s">
        <v>1536</v>
      </c>
      <c r="G1776" t="s">
        <v>2134</v>
      </c>
      <c r="I1776" t="s">
        <v>1284</v>
      </c>
    </row>
    <row r="1777" spans="1:9" x14ac:dyDescent="0.3">
      <c r="A1777" t="s">
        <v>1593</v>
      </c>
      <c r="C1777" t="s">
        <v>1210</v>
      </c>
      <c r="E1777" t="s">
        <v>1911</v>
      </c>
      <c r="G1777" t="s">
        <v>2136</v>
      </c>
      <c r="I1777" t="s">
        <v>1285</v>
      </c>
    </row>
    <row r="1778" spans="1:9" x14ac:dyDescent="0.3">
      <c r="A1778" t="s">
        <v>1554</v>
      </c>
      <c r="C1778" t="s">
        <v>1211</v>
      </c>
      <c r="G1778" t="s">
        <v>2137</v>
      </c>
      <c r="I1778" t="s">
        <v>1286</v>
      </c>
    </row>
    <row r="1779" spans="1:9" x14ac:dyDescent="0.3">
      <c r="C1779" t="s">
        <v>1212</v>
      </c>
      <c r="E1779" t="s">
        <v>3207</v>
      </c>
      <c r="G1779" t="s">
        <v>2138</v>
      </c>
      <c r="I1779" t="s">
        <v>1287</v>
      </c>
    </row>
    <row r="1780" spans="1:9" x14ac:dyDescent="0.3">
      <c r="A1780" t="s">
        <v>1587</v>
      </c>
      <c r="C1780" t="s">
        <v>1213</v>
      </c>
      <c r="G1780" t="s">
        <v>2139</v>
      </c>
      <c r="I1780" t="s">
        <v>1288</v>
      </c>
    </row>
    <row r="1781" spans="1:9" x14ac:dyDescent="0.3">
      <c r="A1781" t="s">
        <v>1588</v>
      </c>
      <c r="C1781" t="s">
        <v>1214</v>
      </c>
      <c r="E1781" t="s">
        <v>3639</v>
      </c>
      <c r="G1781" t="s">
        <v>2140</v>
      </c>
      <c r="I1781" t="s">
        <v>1289</v>
      </c>
    </row>
    <row r="1782" spans="1:9" x14ac:dyDescent="0.3">
      <c r="A1782" t="s">
        <v>1589</v>
      </c>
      <c r="C1782" t="s">
        <v>89</v>
      </c>
      <c r="E1782" t="s">
        <v>2394</v>
      </c>
      <c r="G1782" t="s">
        <v>2141</v>
      </c>
      <c r="I1782" t="s">
        <v>1292</v>
      </c>
    </row>
    <row r="1783" spans="1:9" x14ac:dyDescent="0.3">
      <c r="A1783" t="s">
        <v>1590</v>
      </c>
      <c r="C1783" t="s">
        <v>1215</v>
      </c>
      <c r="E1783" t="s">
        <v>2395</v>
      </c>
      <c r="G1783" t="s">
        <v>2142</v>
      </c>
      <c r="I1783" t="s">
        <v>1293</v>
      </c>
    </row>
    <row r="1784" spans="1:9" x14ac:dyDescent="0.3">
      <c r="A1784" t="s">
        <v>1591</v>
      </c>
      <c r="C1784" t="s">
        <v>1216</v>
      </c>
      <c r="E1784" t="s">
        <v>2396</v>
      </c>
      <c r="G1784" t="s">
        <v>2143</v>
      </c>
      <c r="I1784" t="s">
        <v>1294</v>
      </c>
    </row>
    <row r="1785" spans="1:9" x14ac:dyDescent="0.3">
      <c r="A1785" t="s">
        <v>1594</v>
      </c>
      <c r="C1785" t="s">
        <v>1217</v>
      </c>
      <c r="E1785" t="s">
        <v>2397</v>
      </c>
      <c r="G1785" t="s">
        <v>2144</v>
      </c>
      <c r="I1785" t="s">
        <v>1295</v>
      </c>
    </row>
    <row r="1786" spans="1:9" x14ac:dyDescent="0.3">
      <c r="A1786" t="e">
        <f>- la consulenza alle imprese e alle persone in tue le forme e i seori.</f>
        <v>#NAME?</v>
      </c>
      <c r="C1786" t="s">
        <v>1218</v>
      </c>
      <c r="E1786" t="s">
        <v>2398</v>
      </c>
      <c r="G1786" t="s">
        <v>2145</v>
      </c>
      <c r="I1786" t="s">
        <v>1296</v>
      </c>
    </row>
    <row r="1787" spans="1:9" x14ac:dyDescent="0.3">
      <c r="A1787" t="s">
        <v>1595</v>
      </c>
      <c r="C1787" t="s">
        <v>1219</v>
      </c>
      <c r="E1787" t="s">
        <v>2399</v>
      </c>
      <c r="G1787" t="s">
        <v>2146</v>
      </c>
      <c r="I1787" t="s">
        <v>1287</v>
      </c>
    </row>
    <row r="1788" spans="1:9" x14ac:dyDescent="0.3">
      <c r="A1788" t="s">
        <v>1596</v>
      </c>
      <c r="C1788" t="s">
        <v>1220</v>
      </c>
      <c r="E1788" t="s">
        <v>2400</v>
      </c>
      <c r="G1788" t="s">
        <v>2147</v>
      </c>
      <c r="I1788" t="s">
        <v>1297</v>
      </c>
    </row>
    <row r="1789" spans="1:9" x14ac:dyDescent="0.3">
      <c r="A1789" t="s">
        <v>1597</v>
      </c>
      <c r="C1789" t="s">
        <v>1221</v>
      </c>
      <c r="E1789" t="s">
        <v>2401</v>
      </c>
      <c r="G1789" t="s">
        <v>2136</v>
      </c>
      <c r="I1789" t="s">
        <v>1289</v>
      </c>
    </row>
    <row r="1790" spans="1:9" x14ac:dyDescent="0.3">
      <c r="A1790" t="s">
        <v>1598</v>
      </c>
      <c r="C1790" t="s">
        <v>1222</v>
      </c>
      <c r="E1790" t="s">
        <v>2402</v>
      </c>
      <c r="G1790" t="s">
        <v>2148</v>
      </c>
      <c r="I1790" t="s">
        <v>1298</v>
      </c>
    </row>
    <row r="1791" spans="1:9" x14ac:dyDescent="0.3">
      <c r="A1791" t="s">
        <v>1599</v>
      </c>
      <c r="C1791" t="s">
        <v>1223</v>
      </c>
      <c r="E1791" t="s">
        <v>2403</v>
      </c>
      <c r="G1791" t="s">
        <v>3438</v>
      </c>
      <c r="I1791" t="s">
        <v>1299</v>
      </c>
    </row>
    <row r="1792" spans="1:9" x14ac:dyDescent="0.3">
      <c r="A1792" t="s">
        <v>1600</v>
      </c>
      <c r="C1792" t="s">
        <v>1224</v>
      </c>
      <c r="E1792" t="s">
        <v>2404</v>
      </c>
      <c r="G1792" t="s">
        <v>2151</v>
      </c>
      <c r="I1792" t="s">
        <v>1287</v>
      </c>
    </row>
    <row r="1793" spans="1:9" x14ac:dyDescent="0.3">
      <c r="A1793" t="s">
        <v>1601</v>
      </c>
      <c r="C1793" t="s">
        <v>1225</v>
      </c>
      <c r="E1793" t="s">
        <v>2405</v>
      </c>
      <c r="G1793" t="s">
        <v>2152</v>
      </c>
      <c r="I1793" t="s">
        <v>1297</v>
      </c>
    </row>
    <row r="1794" spans="1:9" x14ac:dyDescent="0.3">
      <c r="A1794" t="s">
        <v>1602</v>
      </c>
      <c r="E1794" t="s">
        <v>2406</v>
      </c>
      <c r="G1794" t="s">
        <v>2153</v>
      </c>
      <c r="I1794" t="s">
        <v>1289</v>
      </c>
    </row>
    <row r="1795" spans="1:9" x14ac:dyDescent="0.3">
      <c r="A1795" t="s">
        <v>1603</v>
      </c>
      <c r="E1795" t="s">
        <v>2407</v>
      </c>
      <c r="G1795" t="s">
        <v>2154</v>
      </c>
      <c r="I1795" t="s">
        <v>1298</v>
      </c>
    </row>
    <row r="1796" spans="1:9" x14ac:dyDescent="0.3">
      <c r="A1796" t="s">
        <v>1604</v>
      </c>
      <c r="C1796" t="s">
        <v>1226</v>
      </c>
      <c r="E1796" t="s">
        <v>2408</v>
      </c>
      <c r="G1796" t="s">
        <v>2155</v>
      </c>
      <c r="I1796" t="s">
        <v>1294</v>
      </c>
    </row>
    <row r="1797" spans="1:9" x14ac:dyDescent="0.3">
      <c r="A1797" t="s">
        <v>1605</v>
      </c>
      <c r="C1797" t="s">
        <v>1503</v>
      </c>
      <c r="E1797" t="s">
        <v>2409</v>
      </c>
      <c r="I1797" t="s">
        <v>1295</v>
      </c>
    </row>
    <row r="1798" spans="1:9" x14ac:dyDescent="0.3">
      <c r="E1798" t="s">
        <v>2410</v>
      </c>
      <c r="I1798" t="s">
        <v>1300</v>
      </c>
    </row>
    <row r="1799" spans="1:9" x14ac:dyDescent="0.3">
      <c r="C1799" t="s">
        <v>3193</v>
      </c>
      <c r="E1799" t="s">
        <v>2411</v>
      </c>
      <c r="G1799" t="s">
        <v>1022</v>
      </c>
      <c r="I1799" t="s">
        <v>1545</v>
      </c>
    </row>
    <row r="1800" spans="1:9" x14ac:dyDescent="0.3">
      <c r="A1800" t="s">
        <v>1606</v>
      </c>
      <c r="E1800" t="s">
        <v>2412</v>
      </c>
      <c r="G1800" t="s">
        <v>1911</v>
      </c>
    </row>
    <row r="1801" spans="1:9" x14ac:dyDescent="0.3">
      <c r="A1801" t="s">
        <v>1554</v>
      </c>
      <c r="C1801" t="s">
        <v>1220</v>
      </c>
      <c r="E1801" t="s">
        <v>3640</v>
      </c>
    </row>
    <row r="1802" spans="1:9" x14ac:dyDescent="0.3">
      <c r="C1802" t="s">
        <v>1221</v>
      </c>
      <c r="E1802" t="s">
        <v>2415</v>
      </c>
      <c r="G1802" t="s">
        <v>3184</v>
      </c>
      <c r="I1802" t="s">
        <v>1546</v>
      </c>
    </row>
    <row r="1803" spans="1:9" x14ac:dyDescent="0.3">
      <c r="A1803" t="s">
        <v>1607</v>
      </c>
      <c r="C1803" t="s">
        <v>1222</v>
      </c>
      <c r="E1803" t="s">
        <v>3641</v>
      </c>
      <c r="I1803" t="s">
        <v>1503</v>
      </c>
    </row>
    <row r="1804" spans="1:9" x14ac:dyDescent="0.3">
      <c r="A1804" t="s">
        <v>1608</v>
      </c>
      <c r="C1804" t="s">
        <v>1223</v>
      </c>
      <c r="E1804" t="s">
        <v>2418</v>
      </c>
      <c r="G1804" t="s">
        <v>2136</v>
      </c>
    </row>
    <row r="1805" spans="1:9" x14ac:dyDescent="0.3">
      <c r="A1805" t="s">
        <v>1609</v>
      </c>
      <c r="C1805" t="s">
        <v>1224</v>
      </c>
      <c r="E1805" t="s">
        <v>2419</v>
      </c>
      <c r="G1805" t="s">
        <v>2148</v>
      </c>
      <c r="I1805" t="s">
        <v>3212</v>
      </c>
    </row>
    <row r="1806" spans="1:9" x14ac:dyDescent="0.3">
      <c r="C1806" t="s">
        <v>1227</v>
      </c>
      <c r="E1806" t="s">
        <v>2420</v>
      </c>
      <c r="G1806" t="s">
        <v>3438</v>
      </c>
    </row>
    <row r="1807" spans="1:9" x14ac:dyDescent="0.3">
      <c r="C1807" t="s">
        <v>1228</v>
      </c>
      <c r="G1807" t="s">
        <v>2151</v>
      </c>
      <c r="I1807" t="s">
        <v>1297</v>
      </c>
    </row>
    <row r="1808" spans="1:9" x14ac:dyDescent="0.3">
      <c r="A1808" t="s">
        <v>1610</v>
      </c>
      <c r="C1808" t="s">
        <v>1229</v>
      </c>
      <c r="G1808" t="s">
        <v>2152</v>
      </c>
      <c r="I1808" t="s">
        <v>1289</v>
      </c>
    </row>
    <row r="1809" spans="1:9" x14ac:dyDescent="0.3">
      <c r="A1809" t="s">
        <v>1554</v>
      </c>
      <c r="C1809" t="s">
        <v>1230</v>
      </c>
      <c r="E1809" t="s">
        <v>1538</v>
      </c>
      <c r="G1809" t="s">
        <v>2153</v>
      </c>
      <c r="I1809" t="s">
        <v>1298</v>
      </c>
    </row>
    <row r="1810" spans="1:9" x14ac:dyDescent="0.3">
      <c r="C1810" t="s">
        <v>1231</v>
      </c>
      <c r="E1810" t="s">
        <v>1911</v>
      </c>
      <c r="G1810" t="s">
        <v>2154</v>
      </c>
      <c r="I1810" t="s">
        <v>1294</v>
      </c>
    </row>
    <row r="1811" spans="1:9" x14ac:dyDescent="0.3">
      <c r="A1811" t="s">
        <v>1611</v>
      </c>
      <c r="C1811" t="s">
        <v>1232</v>
      </c>
      <c r="G1811" t="s">
        <v>2155</v>
      </c>
      <c r="I1811" t="s">
        <v>1295</v>
      </c>
    </row>
    <row r="1812" spans="1:9" x14ac:dyDescent="0.3">
      <c r="A1812" t="s">
        <v>1612</v>
      </c>
      <c r="C1812" t="s">
        <v>1233</v>
      </c>
      <c r="E1812" t="s">
        <v>3208</v>
      </c>
      <c r="G1812" t="s">
        <v>2156</v>
      </c>
      <c r="I1812" t="s">
        <v>1300</v>
      </c>
    </row>
    <row r="1813" spans="1:9" x14ac:dyDescent="0.3">
      <c r="A1813" t="s">
        <v>1613</v>
      </c>
      <c r="C1813" t="s">
        <v>1234</v>
      </c>
      <c r="G1813" t="s">
        <v>2157</v>
      </c>
      <c r="I1813" t="s">
        <v>1287</v>
      </c>
    </row>
    <row r="1814" spans="1:9" x14ac:dyDescent="0.3">
      <c r="A1814" t="s">
        <v>1614</v>
      </c>
      <c r="C1814" t="s">
        <v>1235</v>
      </c>
      <c r="E1814" t="s">
        <v>2422</v>
      </c>
      <c r="G1814" t="s">
        <v>2158</v>
      </c>
      <c r="I1814" t="s">
        <v>1297</v>
      </c>
    </row>
    <row r="1815" spans="1:9" x14ac:dyDescent="0.3">
      <c r="C1815" t="s">
        <v>1236</v>
      </c>
      <c r="E1815" t="s">
        <v>2423</v>
      </c>
      <c r="G1815" t="s">
        <v>2159</v>
      </c>
      <c r="I1815" t="s">
        <v>1289</v>
      </c>
    </row>
    <row r="1816" spans="1:9" x14ac:dyDescent="0.3">
      <c r="C1816" t="s">
        <v>1237</v>
      </c>
      <c r="E1816" t="s">
        <v>2424</v>
      </c>
      <c r="G1816" t="s">
        <v>2160</v>
      </c>
      <c r="I1816" t="s">
        <v>1298</v>
      </c>
    </row>
    <row r="1817" spans="1:9" x14ac:dyDescent="0.3">
      <c r="A1817" t="s">
        <v>1615</v>
      </c>
      <c r="C1817" t="s">
        <v>1238</v>
      </c>
      <c r="E1817">
        <v>10</v>
      </c>
      <c r="G1817" t="s">
        <v>2161</v>
      </c>
      <c r="I1817" t="s">
        <v>1294</v>
      </c>
    </row>
    <row r="1818" spans="1:9" x14ac:dyDescent="0.3">
      <c r="A1818" t="s">
        <v>1554</v>
      </c>
      <c r="C1818" t="s">
        <v>1239</v>
      </c>
      <c r="E1818" t="s">
        <v>89</v>
      </c>
      <c r="G1818" t="s">
        <v>2162</v>
      </c>
      <c r="I1818" t="s">
        <v>1295</v>
      </c>
    </row>
    <row r="1819" spans="1:9" x14ac:dyDescent="0.3">
      <c r="C1819" t="s">
        <v>1240</v>
      </c>
      <c r="E1819" t="s">
        <v>2425</v>
      </c>
      <c r="G1819" t="s">
        <v>2163</v>
      </c>
      <c r="I1819" t="s">
        <v>1303</v>
      </c>
    </row>
    <row r="1820" spans="1:9" x14ac:dyDescent="0.3">
      <c r="A1820" t="s">
        <v>1616</v>
      </c>
      <c r="C1820" t="s">
        <v>1241</v>
      </c>
      <c r="E1820" t="s">
        <v>2426</v>
      </c>
      <c r="G1820" t="s">
        <v>2164</v>
      </c>
      <c r="I1820" t="s">
        <v>1304</v>
      </c>
    </row>
    <row r="1821" spans="1:9" x14ac:dyDescent="0.3">
      <c r="A1821" t="s">
        <v>1617</v>
      </c>
      <c r="C1821" t="s">
        <v>1242</v>
      </c>
      <c r="E1821" t="s">
        <v>2427</v>
      </c>
      <c r="G1821">
        <v>5</v>
      </c>
      <c r="I1821" t="s">
        <v>1305</v>
      </c>
    </row>
    <row r="1822" spans="1:9" x14ac:dyDescent="0.3">
      <c r="A1822" t="s">
        <v>1618</v>
      </c>
      <c r="C1822" t="s">
        <v>1243</v>
      </c>
      <c r="E1822" t="s">
        <v>2428</v>
      </c>
      <c r="G1822" t="s">
        <v>89</v>
      </c>
      <c r="I1822" t="s">
        <v>1306</v>
      </c>
    </row>
    <row r="1823" spans="1:9" x14ac:dyDescent="0.3">
      <c r="A1823" t="s">
        <v>1619</v>
      </c>
      <c r="C1823" t="s">
        <v>1244</v>
      </c>
      <c r="E1823" t="s">
        <v>3642</v>
      </c>
      <c r="G1823" t="s">
        <v>2165</v>
      </c>
      <c r="I1823" t="s">
        <v>1307</v>
      </c>
    </row>
    <row r="1824" spans="1:9" x14ac:dyDescent="0.3">
      <c r="A1824" t="s">
        <v>1620</v>
      </c>
      <c r="C1824" t="s">
        <v>1245</v>
      </c>
      <c r="E1824" t="s">
        <v>2431</v>
      </c>
      <c r="G1824" t="s">
        <v>2166</v>
      </c>
      <c r="I1824" t="s">
        <v>1547</v>
      </c>
    </row>
    <row r="1825" spans="1:9" x14ac:dyDescent="0.3">
      <c r="A1825" t="s">
        <v>1621</v>
      </c>
      <c r="E1825" t="s">
        <v>2432</v>
      </c>
      <c r="G1825" t="s">
        <v>2167</v>
      </c>
    </row>
    <row r="1826" spans="1:9" x14ac:dyDescent="0.3">
      <c r="A1826" t="s">
        <v>1622</v>
      </c>
      <c r="E1826" t="s">
        <v>3643</v>
      </c>
      <c r="G1826" t="s">
        <v>2168</v>
      </c>
    </row>
    <row r="1827" spans="1:9" x14ac:dyDescent="0.3">
      <c r="A1827" t="s">
        <v>1623</v>
      </c>
      <c r="C1827" t="s">
        <v>1246</v>
      </c>
      <c r="E1827" t="s">
        <v>2435</v>
      </c>
      <c r="G1827" t="s">
        <v>2169</v>
      </c>
      <c r="I1827" t="s">
        <v>1548</v>
      </c>
    </row>
    <row r="1828" spans="1:9" x14ac:dyDescent="0.3">
      <c r="A1828" t="s">
        <v>1624</v>
      </c>
      <c r="C1828" t="s">
        <v>1503</v>
      </c>
      <c r="E1828" t="s">
        <v>2436</v>
      </c>
      <c r="G1828" t="s">
        <v>2170</v>
      </c>
      <c r="I1828" t="s">
        <v>1503</v>
      </c>
    </row>
    <row r="1829" spans="1:9" x14ac:dyDescent="0.3">
      <c r="A1829" t="s">
        <v>1625</v>
      </c>
      <c r="E1829" t="s">
        <v>3644</v>
      </c>
      <c r="G1829" t="s">
        <v>2171</v>
      </c>
    </row>
    <row r="1830" spans="1:9" x14ac:dyDescent="0.3">
      <c r="A1830" t="s">
        <v>89</v>
      </c>
      <c r="C1830" t="s">
        <v>3194</v>
      </c>
      <c r="E1830" t="s">
        <v>2440</v>
      </c>
      <c r="G1830" t="s">
        <v>2172</v>
      </c>
      <c r="I1830" t="s">
        <v>3213</v>
      </c>
    </row>
    <row r="1831" spans="1:9" x14ac:dyDescent="0.3">
      <c r="A1831" t="s">
        <v>1626</v>
      </c>
      <c r="E1831" t="s">
        <v>2441</v>
      </c>
      <c r="G1831" t="s">
        <v>2173</v>
      </c>
    </row>
    <row r="1832" spans="1:9" x14ac:dyDescent="0.3">
      <c r="A1832" t="s">
        <v>1627</v>
      </c>
      <c r="C1832" t="s">
        <v>1241</v>
      </c>
      <c r="E1832" t="s">
        <v>2442</v>
      </c>
      <c r="G1832" t="s">
        <v>2174</v>
      </c>
      <c r="I1832" t="s">
        <v>1309</v>
      </c>
    </row>
    <row r="1833" spans="1:9" x14ac:dyDescent="0.3">
      <c r="A1833" t="s">
        <v>1628</v>
      </c>
      <c r="C1833" t="s">
        <v>1242</v>
      </c>
      <c r="E1833" t="s">
        <v>2443</v>
      </c>
      <c r="G1833" t="s">
        <v>2175</v>
      </c>
      <c r="I1833" t="s">
        <v>1310</v>
      </c>
    </row>
    <row r="1834" spans="1:9" x14ac:dyDescent="0.3">
      <c r="A1834" t="s">
        <v>1629</v>
      </c>
      <c r="C1834" t="s">
        <v>1243</v>
      </c>
      <c r="E1834" t="s">
        <v>3645</v>
      </c>
      <c r="G1834" t="s">
        <v>2176</v>
      </c>
      <c r="I1834" t="s">
        <v>1311</v>
      </c>
    </row>
    <row r="1835" spans="1:9" x14ac:dyDescent="0.3">
      <c r="A1835" t="s">
        <v>1630</v>
      </c>
      <c r="C1835" t="s">
        <v>1244</v>
      </c>
      <c r="E1835" t="s">
        <v>3646</v>
      </c>
      <c r="G1835" t="s">
        <v>2177</v>
      </c>
      <c r="I1835" t="s">
        <v>1549</v>
      </c>
    </row>
    <row r="1836" spans="1:9" x14ac:dyDescent="0.3">
      <c r="A1836" t="s">
        <v>1631</v>
      </c>
      <c r="C1836" t="s">
        <v>1247</v>
      </c>
      <c r="E1836" t="s">
        <v>3647</v>
      </c>
      <c r="G1836" t="s">
        <v>2178</v>
      </c>
    </row>
    <row r="1837" spans="1:9" x14ac:dyDescent="0.3">
      <c r="A1837" t="s">
        <v>1632</v>
      </c>
      <c r="C1837" t="s">
        <v>1248</v>
      </c>
      <c r="E1837" t="s">
        <v>2449</v>
      </c>
      <c r="G1837" t="s">
        <v>2179</v>
      </c>
    </row>
    <row r="1838" spans="1:9" x14ac:dyDescent="0.3">
      <c r="A1838" t="s">
        <v>1633</v>
      </c>
      <c r="C1838" t="s">
        <v>1249</v>
      </c>
      <c r="G1838" t="s">
        <v>2180</v>
      </c>
      <c r="I1838" t="s">
        <v>1550</v>
      </c>
    </row>
    <row r="1839" spans="1:9" x14ac:dyDescent="0.3">
      <c r="A1839" t="s">
        <v>1634</v>
      </c>
      <c r="C1839" t="s">
        <v>1250</v>
      </c>
      <c r="G1839" t="s">
        <v>2182</v>
      </c>
      <c r="I1839" t="s">
        <v>1503</v>
      </c>
    </row>
    <row r="1840" spans="1:9" x14ac:dyDescent="0.3">
      <c r="A1840" t="s">
        <v>1635</v>
      </c>
      <c r="C1840" t="s">
        <v>1251</v>
      </c>
      <c r="E1840" t="s">
        <v>1540</v>
      </c>
      <c r="G1840" t="s">
        <v>2183</v>
      </c>
    </row>
    <row r="1841" spans="1:9" x14ac:dyDescent="0.3">
      <c r="A1841" t="s">
        <v>1636</v>
      </c>
      <c r="C1841" t="s">
        <v>1252</v>
      </c>
      <c r="E1841" t="s">
        <v>1911</v>
      </c>
      <c r="G1841" t="s">
        <v>3966</v>
      </c>
      <c r="I1841" t="s">
        <v>3214</v>
      </c>
    </row>
    <row r="1842" spans="1:9" x14ac:dyDescent="0.3">
      <c r="C1842" t="s">
        <v>1253</v>
      </c>
    </row>
    <row r="1843" spans="1:9" x14ac:dyDescent="0.3">
      <c r="C1843" t="s">
        <v>1254</v>
      </c>
      <c r="E1843" t="s">
        <v>3209</v>
      </c>
      <c r="I1843" t="s">
        <v>1313</v>
      </c>
    </row>
    <row r="1844" spans="1:9" x14ac:dyDescent="0.3">
      <c r="A1844" t="s">
        <v>1637</v>
      </c>
      <c r="C1844" t="s">
        <v>1255</v>
      </c>
      <c r="G1844" t="s">
        <v>1046</v>
      </c>
      <c r="I1844" t="s">
        <v>1314</v>
      </c>
    </row>
    <row r="1845" spans="1:9" x14ac:dyDescent="0.3">
      <c r="A1845" t="s">
        <v>1554</v>
      </c>
      <c r="C1845" t="s">
        <v>1256</v>
      </c>
      <c r="E1845" t="s">
        <v>2451</v>
      </c>
      <c r="G1845" t="s">
        <v>1911</v>
      </c>
      <c r="I1845" t="s">
        <v>1315</v>
      </c>
    </row>
    <row r="1846" spans="1:9" x14ac:dyDescent="0.3">
      <c r="C1846" t="s">
        <v>1257</v>
      </c>
      <c r="E1846" t="s">
        <v>2452</v>
      </c>
      <c r="I1846" t="s">
        <v>1316</v>
      </c>
    </row>
    <row r="1847" spans="1:9" x14ac:dyDescent="0.3">
      <c r="A1847" t="s">
        <v>1638</v>
      </c>
      <c r="C1847" t="s">
        <v>1258</v>
      </c>
      <c r="E1847" t="s">
        <v>2453</v>
      </c>
      <c r="G1847" t="s">
        <v>3185</v>
      </c>
      <c r="I1847" t="s">
        <v>1317</v>
      </c>
    </row>
    <row r="1848" spans="1:9" x14ac:dyDescent="0.3">
      <c r="A1848" t="s">
        <v>1639</v>
      </c>
      <c r="C1848" t="s">
        <v>1259</v>
      </c>
      <c r="E1848" t="s">
        <v>2454</v>
      </c>
      <c r="I1848" t="s">
        <v>1318</v>
      </c>
    </row>
    <row r="1849" spans="1:9" x14ac:dyDescent="0.3">
      <c r="A1849" t="s">
        <v>1640</v>
      </c>
      <c r="C1849" t="s">
        <v>1260</v>
      </c>
      <c r="E1849" t="s">
        <v>2455</v>
      </c>
      <c r="G1849" t="s">
        <v>2176</v>
      </c>
      <c r="I1849" t="s">
        <v>1319</v>
      </c>
    </row>
    <row r="1850" spans="1:9" x14ac:dyDescent="0.3">
      <c r="A1850" t="s">
        <v>1641</v>
      </c>
      <c r="C1850" t="s">
        <v>1261</v>
      </c>
      <c r="E1850" t="s">
        <v>2456</v>
      </c>
      <c r="G1850" t="s">
        <v>2177</v>
      </c>
      <c r="I1850" t="s">
        <v>1320</v>
      </c>
    </row>
    <row r="1851" spans="1:9" x14ac:dyDescent="0.3">
      <c r="A1851" t="s">
        <v>1642</v>
      </c>
      <c r="C1851" t="s">
        <v>1262</v>
      </c>
      <c r="E1851" t="s">
        <v>2457</v>
      </c>
      <c r="G1851" t="s">
        <v>2178</v>
      </c>
      <c r="I1851" t="s">
        <v>89</v>
      </c>
    </row>
    <row r="1852" spans="1:9" x14ac:dyDescent="0.3">
      <c r="A1852" t="s">
        <v>1643</v>
      </c>
      <c r="C1852" t="s">
        <v>1263</v>
      </c>
      <c r="E1852" t="s">
        <v>2458</v>
      </c>
      <c r="G1852" t="s">
        <v>2179</v>
      </c>
      <c r="I1852" t="s">
        <v>1551</v>
      </c>
    </row>
    <row r="1853" spans="1:9" x14ac:dyDescent="0.3">
      <c r="A1853" t="s">
        <v>1644</v>
      </c>
      <c r="C1853" t="s">
        <v>1264</v>
      </c>
      <c r="E1853" t="s">
        <v>2459</v>
      </c>
      <c r="G1853" t="s">
        <v>2180</v>
      </c>
    </row>
    <row r="1854" spans="1:9" x14ac:dyDescent="0.3">
      <c r="A1854" t="s">
        <v>1645</v>
      </c>
      <c r="C1854" t="s">
        <v>1265</v>
      </c>
      <c r="E1854" t="s">
        <v>3648</v>
      </c>
      <c r="G1854" t="s">
        <v>2182</v>
      </c>
    </row>
    <row r="1855" spans="1:9" x14ac:dyDescent="0.3">
      <c r="A1855" t="s">
        <v>1646</v>
      </c>
      <c r="C1855" t="s">
        <v>1266</v>
      </c>
      <c r="E1855" t="s">
        <v>3649</v>
      </c>
      <c r="G1855" t="s">
        <v>2183</v>
      </c>
      <c r="I1855" t="s">
        <v>1552</v>
      </c>
    </row>
    <row r="1856" spans="1:9" x14ac:dyDescent="0.3">
      <c r="A1856" t="s">
        <v>1647</v>
      </c>
      <c r="C1856" t="s">
        <v>1267</v>
      </c>
      <c r="E1856" t="s">
        <v>2464</v>
      </c>
      <c r="G1856" t="s">
        <v>2184</v>
      </c>
      <c r="I1856" t="s">
        <v>1503</v>
      </c>
    </row>
    <row r="1857" spans="1:9" x14ac:dyDescent="0.3">
      <c r="A1857" t="s">
        <v>1648</v>
      </c>
      <c r="E1857" t="s">
        <v>3650</v>
      </c>
      <c r="G1857" t="s">
        <v>2185</v>
      </c>
    </row>
    <row r="1858" spans="1:9" x14ac:dyDescent="0.3">
      <c r="A1858" t="s">
        <v>1649</v>
      </c>
      <c r="E1858" t="s">
        <v>2467</v>
      </c>
      <c r="G1858" t="s">
        <v>2186</v>
      </c>
      <c r="I1858" t="s">
        <v>3215</v>
      </c>
    </row>
    <row r="1859" spans="1:9" x14ac:dyDescent="0.3">
      <c r="A1859" t="s">
        <v>1650</v>
      </c>
      <c r="C1859" t="s">
        <v>1268</v>
      </c>
      <c r="E1859" t="s">
        <v>3651</v>
      </c>
      <c r="G1859" t="s">
        <v>3439</v>
      </c>
    </row>
    <row r="1860" spans="1:9" x14ac:dyDescent="0.3">
      <c r="A1860" t="s">
        <v>1651</v>
      </c>
      <c r="C1860" t="s">
        <v>1503</v>
      </c>
      <c r="E1860" t="s">
        <v>2470</v>
      </c>
      <c r="G1860" t="s">
        <v>2189</v>
      </c>
      <c r="I1860" t="s">
        <v>1324</v>
      </c>
    </row>
    <row r="1861" spans="1:9" x14ac:dyDescent="0.3">
      <c r="A1861" t="s">
        <v>1652</v>
      </c>
      <c r="E1861" t="s">
        <v>2471</v>
      </c>
      <c r="G1861" t="s">
        <v>2190</v>
      </c>
      <c r="I1861" t="s">
        <v>1325</v>
      </c>
    </row>
    <row r="1862" spans="1:9" x14ac:dyDescent="0.3">
      <c r="A1862" t="s">
        <v>1653</v>
      </c>
      <c r="C1862" t="s">
        <v>3195</v>
      </c>
      <c r="E1862" t="s">
        <v>2472</v>
      </c>
      <c r="G1862" t="s">
        <v>2191</v>
      </c>
      <c r="I1862" t="s">
        <v>1326</v>
      </c>
    </row>
    <row r="1863" spans="1:9" x14ac:dyDescent="0.3">
      <c r="A1863" t="s">
        <v>1654</v>
      </c>
      <c r="E1863" t="s">
        <v>2473</v>
      </c>
      <c r="G1863" t="s">
        <v>2192</v>
      </c>
      <c r="I1863" t="s">
        <v>1327</v>
      </c>
    </row>
    <row r="1864" spans="1:9" x14ac:dyDescent="0.3">
      <c r="A1864" t="s">
        <v>1655</v>
      </c>
      <c r="C1864" t="s">
        <v>1262</v>
      </c>
      <c r="E1864" t="s">
        <v>3652</v>
      </c>
      <c r="G1864" t="s">
        <v>3440</v>
      </c>
      <c r="I1864" t="s">
        <v>1328</v>
      </c>
    </row>
    <row r="1865" spans="1:9" x14ac:dyDescent="0.3">
      <c r="A1865" t="s">
        <v>1656</v>
      </c>
      <c r="C1865" t="s">
        <v>1263</v>
      </c>
      <c r="G1865" t="s">
        <v>2195</v>
      </c>
      <c r="I1865" t="s">
        <v>89</v>
      </c>
    </row>
    <row r="1866" spans="1:9" x14ac:dyDescent="0.3">
      <c r="A1866" t="s">
        <v>1657</v>
      </c>
      <c r="C1866" t="s">
        <v>1264</v>
      </c>
      <c r="G1866" t="s">
        <v>2196</v>
      </c>
      <c r="I1866" t="s">
        <v>1329</v>
      </c>
    </row>
    <row r="1867" spans="1:9" x14ac:dyDescent="0.3">
      <c r="A1867" t="s">
        <v>1658</v>
      </c>
      <c r="C1867" t="s">
        <v>1265</v>
      </c>
      <c r="E1867" t="s">
        <v>1542</v>
      </c>
      <c r="G1867" t="s">
        <v>2197</v>
      </c>
      <c r="I1867" t="s">
        <v>1330</v>
      </c>
    </row>
    <row r="1868" spans="1:9" x14ac:dyDescent="0.3">
      <c r="A1868" t="s">
        <v>1659</v>
      </c>
      <c r="C1868" t="s">
        <v>1266</v>
      </c>
      <c r="E1868" t="s">
        <v>1911</v>
      </c>
      <c r="G1868" t="s">
        <v>2198</v>
      </c>
      <c r="I1868" t="s">
        <v>1331</v>
      </c>
    </row>
    <row r="1869" spans="1:9" x14ac:dyDescent="0.3">
      <c r="C1869" t="s">
        <v>1269</v>
      </c>
      <c r="G1869" t="s">
        <v>2199</v>
      </c>
      <c r="I1869" t="s">
        <v>1332</v>
      </c>
    </row>
    <row r="1870" spans="1:9" x14ac:dyDescent="0.3">
      <c r="C1870" t="s">
        <v>1270</v>
      </c>
      <c r="E1870" t="s">
        <v>3210</v>
      </c>
      <c r="G1870" t="s">
        <v>2200</v>
      </c>
    </row>
    <row r="1871" spans="1:9" x14ac:dyDescent="0.3">
      <c r="A1871" t="s">
        <v>1660</v>
      </c>
      <c r="C1871" t="s">
        <v>1271</v>
      </c>
      <c r="G1871" t="s">
        <v>2201</v>
      </c>
    </row>
    <row r="1872" spans="1:9" x14ac:dyDescent="0.3">
      <c r="A1872" t="s">
        <v>1554</v>
      </c>
      <c r="C1872" t="s">
        <v>1272</v>
      </c>
      <c r="E1872" t="s">
        <v>3653</v>
      </c>
      <c r="G1872" t="s">
        <v>2202</v>
      </c>
      <c r="I1872" t="s">
        <v>1553</v>
      </c>
    </row>
    <row r="1873" spans="1:9" x14ac:dyDescent="0.3">
      <c r="C1873" t="s">
        <v>1273</v>
      </c>
      <c r="E1873" t="s">
        <v>2475</v>
      </c>
      <c r="G1873" t="s">
        <v>2203</v>
      </c>
      <c r="I1873" t="s">
        <v>1554</v>
      </c>
    </row>
    <row r="1874" spans="1:9" x14ac:dyDescent="0.3">
      <c r="A1874" t="s">
        <v>1655</v>
      </c>
      <c r="C1874" t="s">
        <v>1274</v>
      </c>
      <c r="E1874">
        <v>11</v>
      </c>
      <c r="G1874" t="s">
        <v>2204</v>
      </c>
    </row>
    <row r="1875" spans="1:9" x14ac:dyDescent="0.3">
      <c r="A1875" t="s">
        <v>1656</v>
      </c>
      <c r="C1875" t="s">
        <v>1275</v>
      </c>
      <c r="E1875" t="s">
        <v>89</v>
      </c>
      <c r="G1875" t="s">
        <v>2205</v>
      </c>
      <c r="I1875" t="s">
        <v>3216</v>
      </c>
    </row>
    <row r="1876" spans="1:9" x14ac:dyDescent="0.3">
      <c r="A1876" t="s">
        <v>1657</v>
      </c>
      <c r="C1876" t="s">
        <v>89</v>
      </c>
      <c r="E1876" t="s">
        <v>2476</v>
      </c>
      <c r="G1876" t="s">
        <v>2206</v>
      </c>
    </row>
    <row r="1877" spans="1:9" x14ac:dyDescent="0.3">
      <c r="A1877" t="s">
        <v>1658</v>
      </c>
      <c r="C1877" t="s">
        <v>1276</v>
      </c>
      <c r="E1877" t="s">
        <v>2477</v>
      </c>
      <c r="G1877" t="s">
        <v>2207</v>
      </c>
      <c r="I1877" t="s">
        <v>1335</v>
      </c>
    </row>
    <row r="1878" spans="1:9" x14ac:dyDescent="0.3">
      <c r="A1878" t="s">
        <v>1661</v>
      </c>
      <c r="C1878" t="s">
        <v>1277</v>
      </c>
      <c r="E1878" t="s">
        <v>2478</v>
      </c>
      <c r="G1878" t="s">
        <v>2208</v>
      </c>
      <c r="I1878" t="s">
        <v>1555</v>
      </c>
    </row>
    <row r="1879" spans="1:9" x14ac:dyDescent="0.3">
      <c r="A1879" t="s">
        <v>1662</v>
      </c>
      <c r="C1879" t="s">
        <v>1278</v>
      </c>
      <c r="E1879" t="s">
        <v>2479</v>
      </c>
      <c r="G1879" t="s">
        <v>2209</v>
      </c>
      <c r="I1879" t="s">
        <v>1556</v>
      </c>
    </row>
    <row r="1880" spans="1:9" x14ac:dyDescent="0.3">
      <c r="A1880" t="s">
        <v>1663</v>
      </c>
      <c r="C1880" t="s">
        <v>1279</v>
      </c>
      <c r="E1880" t="s">
        <v>2480</v>
      </c>
      <c r="G1880" t="s">
        <v>2210</v>
      </c>
    </row>
    <row r="1881" spans="1:9" x14ac:dyDescent="0.3">
      <c r="A1881" t="s">
        <v>1664</v>
      </c>
      <c r="C1881" t="s">
        <v>1280</v>
      </c>
      <c r="E1881" t="s">
        <v>2481</v>
      </c>
      <c r="G1881" t="s">
        <v>2211</v>
      </c>
    </row>
    <row r="1882" spans="1:9" x14ac:dyDescent="0.3">
      <c r="A1882" t="s">
        <v>1665</v>
      </c>
      <c r="C1882" t="s">
        <v>1281</v>
      </c>
      <c r="E1882" t="s">
        <v>2482</v>
      </c>
      <c r="G1882" t="s">
        <v>2212</v>
      </c>
      <c r="I1882" t="s">
        <v>1557</v>
      </c>
    </row>
    <row r="1883" spans="1:9" x14ac:dyDescent="0.3">
      <c r="A1883" t="s">
        <v>89</v>
      </c>
      <c r="C1883" t="s">
        <v>1282</v>
      </c>
      <c r="E1883" t="s">
        <v>2483</v>
      </c>
      <c r="G1883" t="s">
        <v>2213</v>
      </c>
      <c r="I1883" t="s">
        <v>1554</v>
      </c>
    </row>
    <row r="1884" spans="1:9" x14ac:dyDescent="0.3">
      <c r="A1884" t="s">
        <v>1666</v>
      </c>
      <c r="C1884" t="s">
        <v>1283</v>
      </c>
      <c r="E1884" t="s">
        <v>2484</v>
      </c>
      <c r="G1884" t="s">
        <v>2214</v>
      </c>
    </row>
    <row r="1885" spans="1:9" x14ac:dyDescent="0.3">
      <c r="A1885" t="s">
        <v>1667</v>
      </c>
      <c r="C1885" t="s">
        <v>1284</v>
      </c>
      <c r="E1885" t="s">
        <v>2485</v>
      </c>
      <c r="G1885" t="s">
        <v>2215</v>
      </c>
      <c r="I1885" t="s">
        <v>3217</v>
      </c>
    </row>
    <row r="1886" spans="1:9" x14ac:dyDescent="0.3">
      <c r="A1886" t="s">
        <v>1668</v>
      </c>
      <c r="C1886" t="s">
        <v>1285</v>
      </c>
      <c r="E1886" t="s">
        <v>2486</v>
      </c>
      <c r="G1886" t="s">
        <v>2216</v>
      </c>
    </row>
    <row r="1887" spans="1:9" x14ac:dyDescent="0.3">
      <c r="A1887" t="s">
        <v>1669</v>
      </c>
      <c r="C1887" t="s">
        <v>1286</v>
      </c>
      <c r="E1887" t="s">
        <v>2487</v>
      </c>
      <c r="G1887" t="s">
        <v>2217</v>
      </c>
      <c r="I1887" t="s">
        <v>1558</v>
      </c>
    </row>
    <row r="1888" spans="1:9" x14ac:dyDescent="0.3">
      <c r="A1888" t="s">
        <v>1670</v>
      </c>
      <c r="C1888" t="s">
        <v>1287</v>
      </c>
      <c r="E1888" t="s">
        <v>2488</v>
      </c>
      <c r="G1888">
        <v>6</v>
      </c>
      <c r="I1888" t="s">
        <v>1559</v>
      </c>
    </row>
    <row r="1889" spans="1:9" x14ac:dyDescent="0.3">
      <c r="A1889" t="s">
        <v>1671</v>
      </c>
      <c r="C1889" t="s">
        <v>1288</v>
      </c>
      <c r="E1889" t="s">
        <v>3654</v>
      </c>
      <c r="I1889" t="s">
        <v>1560</v>
      </c>
    </row>
    <row r="1890" spans="1:9" x14ac:dyDescent="0.3">
      <c r="A1890" t="s">
        <v>1672</v>
      </c>
      <c r="C1890" t="s">
        <v>1289</v>
      </c>
      <c r="E1890" t="s">
        <v>2492</v>
      </c>
      <c r="I1890" t="s">
        <v>1561</v>
      </c>
    </row>
    <row r="1891" spans="1:9" x14ac:dyDescent="0.3">
      <c r="A1891" t="s">
        <v>1673</v>
      </c>
      <c r="C1891" t="s">
        <v>1290</v>
      </c>
      <c r="E1891" t="s">
        <v>2493</v>
      </c>
      <c r="G1891" t="s">
        <v>1069</v>
      </c>
      <c r="I1891" t="s">
        <v>1562</v>
      </c>
    </row>
    <row r="1892" spans="1:9" x14ac:dyDescent="0.3">
      <c r="E1892" t="s">
        <v>2494</v>
      </c>
      <c r="G1892" t="s">
        <v>1911</v>
      </c>
      <c r="I1892" t="s">
        <v>1563</v>
      </c>
    </row>
    <row r="1893" spans="1:9" x14ac:dyDescent="0.3">
      <c r="E1893" t="s">
        <v>2495</v>
      </c>
      <c r="I1893" t="s">
        <v>1564</v>
      </c>
    </row>
    <row r="1894" spans="1:9" x14ac:dyDescent="0.3">
      <c r="A1894" t="s">
        <v>1674</v>
      </c>
      <c r="C1894" t="s">
        <v>1291</v>
      </c>
      <c r="E1894" t="s">
        <v>2496</v>
      </c>
      <c r="G1894" t="s">
        <v>3186</v>
      </c>
      <c r="I1894" t="s">
        <v>1565</v>
      </c>
    </row>
    <row r="1895" spans="1:9" x14ac:dyDescent="0.3">
      <c r="A1895" t="s">
        <v>1554</v>
      </c>
      <c r="C1895" t="s">
        <v>1503</v>
      </c>
      <c r="E1895" t="s">
        <v>2497</v>
      </c>
      <c r="I1895" t="s">
        <v>1566</v>
      </c>
    </row>
    <row r="1896" spans="1:9" x14ac:dyDescent="0.3">
      <c r="E1896" t="s">
        <v>2498</v>
      </c>
      <c r="G1896" t="s">
        <v>2211</v>
      </c>
      <c r="I1896" t="s">
        <v>1567</v>
      </c>
    </row>
    <row r="1897" spans="1:9" x14ac:dyDescent="0.3">
      <c r="A1897" t="s">
        <v>1670</v>
      </c>
      <c r="C1897" t="s">
        <v>3196</v>
      </c>
      <c r="E1897" t="s">
        <v>2499</v>
      </c>
      <c r="G1897" t="s">
        <v>2212</v>
      </c>
      <c r="I1897" t="s">
        <v>1568</v>
      </c>
    </row>
    <row r="1898" spans="1:9" x14ac:dyDescent="0.3">
      <c r="A1898" t="s">
        <v>1671</v>
      </c>
      <c r="E1898" t="s">
        <v>2500</v>
      </c>
      <c r="G1898" t="s">
        <v>2213</v>
      </c>
      <c r="I1898" t="s">
        <v>1569</v>
      </c>
    </row>
    <row r="1899" spans="1:9" x14ac:dyDescent="0.3">
      <c r="A1899" t="s">
        <v>1672</v>
      </c>
      <c r="C1899" t="s">
        <v>1285</v>
      </c>
      <c r="E1899" t="s">
        <v>2493</v>
      </c>
      <c r="G1899" t="s">
        <v>2214</v>
      </c>
      <c r="I1899" t="s">
        <v>1570</v>
      </c>
    </row>
    <row r="1900" spans="1:9" x14ac:dyDescent="0.3">
      <c r="A1900" t="s">
        <v>1675</v>
      </c>
      <c r="C1900" t="s">
        <v>1286</v>
      </c>
      <c r="E1900" t="s">
        <v>3655</v>
      </c>
      <c r="G1900" t="s">
        <v>2215</v>
      </c>
      <c r="I1900" t="s">
        <v>1571</v>
      </c>
    </row>
    <row r="1901" spans="1:9" x14ac:dyDescent="0.3">
      <c r="A1901" t="s">
        <v>1676</v>
      </c>
      <c r="C1901" t="s">
        <v>1287</v>
      </c>
      <c r="E1901" t="s">
        <v>2503</v>
      </c>
      <c r="G1901" t="s">
        <v>2216</v>
      </c>
      <c r="I1901" t="s">
        <v>1572</v>
      </c>
    </row>
    <row r="1902" spans="1:9" x14ac:dyDescent="0.3">
      <c r="A1902" t="s">
        <v>1677</v>
      </c>
      <c r="C1902" t="s">
        <v>1288</v>
      </c>
      <c r="E1902" t="s">
        <v>2504</v>
      </c>
      <c r="G1902" t="s">
        <v>2217</v>
      </c>
      <c r="I1902" t="s">
        <v>1573</v>
      </c>
    </row>
    <row r="1903" spans="1:9" x14ac:dyDescent="0.3">
      <c r="A1903" t="s">
        <v>1678</v>
      </c>
      <c r="C1903" t="s">
        <v>1289</v>
      </c>
      <c r="E1903" t="s">
        <v>3656</v>
      </c>
      <c r="G1903">
        <v>6</v>
      </c>
      <c r="I1903" t="s">
        <v>1574</v>
      </c>
    </row>
    <row r="1904" spans="1:9" x14ac:dyDescent="0.3">
      <c r="A1904" t="s">
        <v>1679</v>
      </c>
      <c r="C1904" t="s">
        <v>1292</v>
      </c>
      <c r="G1904" t="s">
        <v>89</v>
      </c>
      <c r="I1904" t="s">
        <v>1575</v>
      </c>
    </row>
    <row r="1905" spans="1:9" x14ac:dyDescent="0.3">
      <c r="A1905" t="s">
        <v>1680</v>
      </c>
      <c r="C1905" t="s">
        <v>1293</v>
      </c>
      <c r="G1905" t="s">
        <v>2218</v>
      </c>
      <c r="I1905" t="s">
        <v>1576</v>
      </c>
    </row>
    <row r="1906" spans="1:9" x14ac:dyDescent="0.3">
      <c r="A1906" t="s">
        <v>1681</v>
      </c>
      <c r="C1906" t="s">
        <v>1294</v>
      </c>
      <c r="E1906" t="s">
        <v>1544</v>
      </c>
      <c r="G1906" t="s">
        <v>2219</v>
      </c>
    </row>
    <row r="1907" spans="1:9" x14ac:dyDescent="0.3">
      <c r="A1907" t="s">
        <v>1682</v>
      </c>
      <c r="C1907" t="s">
        <v>1295</v>
      </c>
      <c r="E1907" t="s">
        <v>1911</v>
      </c>
      <c r="G1907" t="s">
        <v>2220</v>
      </c>
    </row>
    <row r="1908" spans="1:9" x14ac:dyDescent="0.3">
      <c r="A1908" t="s">
        <v>1683</v>
      </c>
      <c r="C1908" t="s">
        <v>1296</v>
      </c>
      <c r="G1908" t="s">
        <v>2221</v>
      </c>
      <c r="I1908" t="s">
        <v>1577</v>
      </c>
    </row>
    <row r="1909" spans="1:9" x14ac:dyDescent="0.3">
      <c r="A1909" t="s">
        <v>1684</v>
      </c>
      <c r="C1909" t="s">
        <v>1287</v>
      </c>
      <c r="E1909" t="s">
        <v>3211</v>
      </c>
      <c r="G1909" t="s">
        <v>2222</v>
      </c>
      <c r="I1909" t="s">
        <v>1554</v>
      </c>
    </row>
    <row r="1910" spans="1:9" x14ac:dyDescent="0.3">
      <c r="A1910" t="s">
        <v>1685</v>
      </c>
      <c r="C1910" t="s">
        <v>1297</v>
      </c>
      <c r="G1910" t="s">
        <v>2223</v>
      </c>
    </row>
    <row r="1911" spans="1:9" x14ac:dyDescent="0.3">
      <c r="A1911" t="s">
        <v>1686</v>
      </c>
      <c r="C1911" t="s">
        <v>1289</v>
      </c>
      <c r="E1911" t="s">
        <v>2506</v>
      </c>
      <c r="G1911" t="s">
        <v>2224</v>
      </c>
      <c r="I1911" t="s">
        <v>3218</v>
      </c>
    </row>
    <row r="1912" spans="1:9" x14ac:dyDescent="0.3">
      <c r="A1912" t="s">
        <v>1687</v>
      </c>
      <c r="C1912" t="s">
        <v>1298</v>
      </c>
      <c r="E1912" t="s">
        <v>2507</v>
      </c>
      <c r="G1912" t="s">
        <v>2225</v>
      </c>
    </row>
    <row r="1913" spans="1:9" x14ac:dyDescent="0.3">
      <c r="A1913" t="s">
        <v>1688</v>
      </c>
      <c r="C1913" t="s">
        <v>1299</v>
      </c>
      <c r="E1913" t="s">
        <v>3657</v>
      </c>
      <c r="G1913" t="s">
        <v>2226</v>
      </c>
      <c r="I1913" t="s">
        <v>1573</v>
      </c>
    </row>
    <row r="1914" spans="1:9" x14ac:dyDescent="0.3">
      <c r="A1914" t="s">
        <v>1689</v>
      </c>
      <c r="C1914" t="s">
        <v>1287</v>
      </c>
      <c r="E1914" t="s">
        <v>2511</v>
      </c>
      <c r="G1914" t="s">
        <v>2227</v>
      </c>
      <c r="I1914" t="s">
        <v>1574</v>
      </c>
    </row>
    <row r="1915" spans="1:9" x14ac:dyDescent="0.3">
      <c r="A1915" t="s">
        <v>1690</v>
      </c>
      <c r="C1915" t="s">
        <v>1297</v>
      </c>
      <c r="E1915" t="s">
        <v>2512</v>
      </c>
      <c r="G1915" t="s">
        <v>2229</v>
      </c>
      <c r="I1915" t="s">
        <v>1575</v>
      </c>
    </row>
    <row r="1916" spans="1:9" x14ac:dyDescent="0.3">
      <c r="C1916" t="s">
        <v>1289</v>
      </c>
      <c r="E1916" t="s">
        <v>3658</v>
      </c>
      <c r="G1916" t="s">
        <v>2230</v>
      </c>
      <c r="I1916" t="s">
        <v>1576</v>
      </c>
    </row>
    <row r="1917" spans="1:9" x14ac:dyDescent="0.3">
      <c r="C1917" t="s">
        <v>1298</v>
      </c>
      <c r="E1917" t="s">
        <v>286</v>
      </c>
      <c r="G1917" t="s">
        <v>2231</v>
      </c>
      <c r="I1917" t="s">
        <v>1578</v>
      </c>
    </row>
    <row r="1918" spans="1:9" x14ac:dyDescent="0.3">
      <c r="A1918" t="s">
        <v>1691</v>
      </c>
      <c r="C1918" t="s">
        <v>1294</v>
      </c>
      <c r="E1918" t="s">
        <v>287</v>
      </c>
      <c r="G1918" t="s">
        <v>2232</v>
      </c>
      <c r="I1918" t="s">
        <v>1579</v>
      </c>
    </row>
    <row r="1919" spans="1:9" x14ac:dyDescent="0.3">
      <c r="A1919" t="s">
        <v>1554</v>
      </c>
      <c r="C1919" t="s">
        <v>1295</v>
      </c>
      <c r="E1919" t="s">
        <v>2515</v>
      </c>
      <c r="G1919" t="s">
        <v>2233</v>
      </c>
      <c r="I1919" t="s">
        <v>1580</v>
      </c>
    </row>
    <row r="1920" spans="1:9" x14ac:dyDescent="0.3">
      <c r="C1920" t="s">
        <v>1300</v>
      </c>
      <c r="E1920" t="s">
        <v>2516</v>
      </c>
      <c r="G1920" t="s">
        <v>2234</v>
      </c>
      <c r="I1920" t="s">
        <v>1581</v>
      </c>
    </row>
    <row r="1921" spans="1:9" x14ac:dyDescent="0.3">
      <c r="A1921" t="s">
        <v>1687</v>
      </c>
      <c r="C1921" t="s">
        <v>1287</v>
      </c>
      <c r="E1921" t="s">
        <v>2517</v>
      </c>
      <c r="G1921" t="s">
        <v>2235</v>
      </c>
      <c r="I1921" t="s">
        <v>1582</v>
      </c>
    </row>
    <row r="1922" spans="1:9" x14ac:dyDescent="0.3">
      <c r="A1922" t="s">
        <v>1688</v>
      </c>
      <c r="C1922" t="s">
        <v>1297</v>
      </c>
      <c r="E1922" t="s">
        <v>2518</v>
      </c>
      <c r="G1922" t="s">
        <v>2236</v>
      </c>
      <c r="I1922" t="s">
        <v>1583</v>
      </c>
    </row>
    <row r="1923" spans="1:9" x14ac:dyDescent="0.3">
      <c r="A1923" t="s">
        <v>1689</v>
      </c>
      <c r="C1923" t="s">
        <v>1289</v>
      </c>
      <c r="E1923" t="s">
        <v>3659</v>
      </c>
      <c r="G1923" t="s">
        <v>2237</v>
      </c>
      <c r="I1923" t="s">
        <v>1584</v>
      </c>
    </row>
    <row r="1924" spans="1:9" x14ac:dyDescent="0.3">
      <c r="A1924" t="s">
        <v>1692</v>
      </c>
      <c r="C1924" t="s">
        <v>1298</v>
      </c>
      <c r="E1924" t="s">
        <v>2521</v>
      </c>
      <c r="G1924" t="s">
        <v>2238</v>
      </c>
      <c r="I1924" t="s">
        <v>1585</v>
      </c>
    </row>
    <row r="1925" spans="1:9" x14ac:dyDescent="0.3">
      <c r="A1925" t="s">
        <v>1693</v>
      </c>
      <c r="C1925" t="s">
        <v>1294</v>
      </c>
      <c r="E1925" t="s">
        <v>2522</v>
      </c>
      <c r="G1925" t="s">
        <v>2239</v>
      </c>
      <c r="I1925" t="s">
        <v>1586</v>
      </c>
    </row>
    <row r="1926" spans="1:9" x14ac:dyDescent="0.3">
      <c r="A1926" t="s">
        <v>1694</v>
      </c>
      <c r="C1926" t="s">
        <v>1295</v>
      </c>
      <c r="E1926" t="s">
        <v>3660</v>
      </c>
      <c r="G1926" t="s">
        <v>2240</v>
      </c>
      <c r="I1926" t="s">
        <v>89</v>
      </c>
    </row>
    <row r="1927" spans="1:9" x14ac:dyDescent="0.3">
      <c r="A1927" t="s">
        <v>1695</v>
      </c>
      <c r="C1927" t="s">
        <v>1301</v>
      </c>
      <c r="E1927">
        <v>12</v>
      </c>
      <c r="G1927" t="s">
        <v>2241</v>
      </c>
      <c r="I1927" t="s">
        <v>1587</v>
      </c>
    </row>
    <row r="1928" spans="1:9" x14ac:dyDescent="0.3">
      <c r="A1928" t="s">
        <v>1696</v>
      </c>
      <c r="E1928" t="s">
        <v>89</v>
      </c>
      <c r="G1928" t="s">
        <v>2242</v>
      </c>
      <c r="I1928" t="s">
        <v>1588</v>
      </c>
    </row>
    <row r="1929" spans="1:9" x14ac:dyDescent="0.3">
      <c r="A1929" t="s">
        <v>1697</v>
      </c>
      <c r="E1929" t="s">
        <v>2525</v>
      </c>
      <c r="G1929" t="s">
        <v>2243</v>
      </c>
      <c r="I1929" t="s">
        <v>1589</v>
      </c>
    </row>
    <row r="1930" spans="1:9" x14ac:dyDescent="0.3">
      <c r="A1930" t="s">
        <v>1698</v>
      </c>
      <c r="C1930" t="s">
        <v>1302</v>
      </c>
      <c r="E1930" t="s">
        <v>3661</v>
      </c>
      <c r="G1930" t="s">
        <v>2244</v>
      </c>
      <c r="I1930" t="s">
        <v>1590</v>
      </c>
    </row>
    <row r="1931" spans="1:9" x14ac:dyDescent="0.3">
      <c r="A1931" t="s">
        <v>1699</v>
      </c>
      <c r="C1931" t="s">
        <v>1503</v>
      </c>
      <c r="E1931" t="s">
        <v>2528</v>
      </c>
      <c r="G1931" t="s">
        <v>2245</v>
      </c>
      <c r="I1931" t="s">
        <v>1591</v>
      </c>
    </row>
    <row r="1932" spans="1:9" x14ac:dyDescent="0.3">
      <c r="A1932" t="s">
        <v>1700</v>
      </c>
      <c r="E1932" t="s">
        <v>3662</v>
      </c>
      <c r="I1932" t="s">
        <v>1592</v>
      </c>
    </row>
    <row r="1933" spans="1:9" x14ac:dyDescent="0.3">
      <c r="A1933" t="s">
        <v>1701</v>
      </c>
      <c r="C1933" t="s">
        <v>3197</v>
      </c>
      <c r="E1933" t="s">
        <v>2532</v>
      </c>
    </row>
    <row r="1934" spans="1:9" x14ac:dyDescent="0.3">
      <c r="A1934" t="s">
        <v>1702</v>
      </c>
      <c r="E1934" t="s">
        <v>2533</v>
      </c>
      <c r="G1934" t="s">
        <v>1093</v>
      </c>
    </row>
    <row r="1935" spans="1:9" x14ac:dyDescent="0.3">
      <c r="A1935" t="s">
        <v>1703</v>
      </c>
      <c r="C1935" t="s">
        <v>1287</v>
      </c>
      <c r="E1935" t="s">
        <v>2534</v>
      </c>
      <c r="G1935" t="s">
        <v>1911</v>
      </c>
      <c r="I1935" t="s">
        <v>1593</v>
      </c>
    </row>
    <row r="1936" spans="1:9" x14ac:dyDescent="0.3">
      <c r="A1936" t="s">
        <v>1704</v>
      </c>
      <c r="C1936" t="s">
        <v>1297</v>
      </c>
      <c r="E1936" t="s">
        <v>3663</v>
      </c>
      <c r="I1936" t="s">
        <v>1554</v>
      </c>
    </row>
    <row r="1937" spans="1:9" x14ac:dyDescent="0.3">
      <c r="A1937" t="s">
        <v>1705</v>
      </c>
      <c r="C1937" t="s">
        <v>1289</v>
      </c>
      <c r="G1937" t="s">
        <v>3187</v>
      </c>
    </row>
    <row r="1938" spans="1:9" x14ac:dyDescent="0.3">
      <c r="A1938" t="s">
        <v>1706</v>
      </c>
      <c r="C1938" t="s">
        <v>1298</v>
      </c>
      <c r="I1938" t="s">
        <v>3219</v>
      </c>
    </row>
    <row r="1939" spans="1:9" x14ac:dyDescent="0.3">
      <c r="A1939" t="s">
        <v>1707</v>
      </c>
      <c r="C1939" t="s">
        <v>1294</v>
      </c>
      <c r="E1939" t="s">
        <v>1546</v>
      </c>
      <c r="G1939" t="s">
        <v>2239</v>
      </c>
    </row>
    <row r="1940" spans="1:9" x14ac:dyDescent="0.3">
      <c r="C1940" t="s">
        <v>1295</v>
      </c>
      <c r="E1940" t="s">
        <v>1911</v>
      </c>
      <c r="G1940" t="s">
        <v>2240</v>
      </c>
      <c r="I1940" t="s">
        <v>1587</v>
      </c>
    </row>
    <row r="1941" spans="1:9" x14ac:dyDescent="0.3">
      <c r="C1941" t="s">
        <v>1303</v>
      </c>
      <c r="G1941" t="s">
        <v>2241</v>
      </c>
      <c r="I1941" t="s">
        <v>1588</v>
      </c>
    </row>
    <row r="1942" spans="1:9" x14ac:dyDescent="0.3">
      <c r="A1942" t="s">
        <v>1708</v>
      </c>
      <c r="C1942" t="s">
        <v>1304</v>
      </c>
      <c r="E1942" t="s">
        <v>3212</v>
      </c>
      <c r="G1942" t="s">
        <v>2242</v>
      </c>
      <c r="I1942" t="s">
        <v>1589</v>
      </c>
    </row>
    <row r="1943" spans="1:9" x14ac:dyDescent="0.3">
      <c r="A1943" t="s">
        <v>1554</v>
      </c>
      <c r="C1943" t="s">
        <v>1305</v>
      </c>
      <c r="G1943" t="s">
        <v>2243</v>
      </c>
      <c r="I1943" t="s">
        <v>1590</v>
      </c>
    </row>
    <row r="1944" spans="1:9" x14ac:dyDescent="0.3">
      <c r="C1944" t="s">
        <v>1306</v>
      </c>
      <c r="E1944" t="s">
        <v>2536</v>
      </c>
      <c r="G1944" t="s">
        <v>2244</v>
      </c>
      <c r="I1944" t="s">
        <v>1591</v>
      </c>
    </row>
    <row r="1945" spans="1:9" x14ac:dyDescent="0.3">
      <c r="A1945" t="s">
        <v>1702</v>
      </c>
      <c r="C1945" t="s">
        <v>1307</v>
      </c>
      <c r="E1945" t="s">
        <v>2537</v>
      </c>
      <c r="G1945" t="s">
        <v>2245</v>
      </c>
      <c r="I1945" t="s">
        <v>1594</v>
      </c>
    </row>
    <row r="1946" spans="1:9" x14ac:dyDescent="0.3">
      <c r="A1946" t="s">
        <v>1703</v>
      </c>
      <c r="C1946" t="s">
        <v>1308</v>
      </c>
      <c r="E1946" t="s">
        <v>2538</v>
      </c>
      <c r="G1946" t="s">
        <v>2246</v>
      </c>
      <c r="I1946" t="e">
        <f>- la consulenza alle imprese e alle persone in tue le forme e i seori.</f>
        <v>#NAME?</v>
      </c>
    </row>
    <row r="1947" spans="1:9" x14ac:dyDescent="0.3">
      <c r="A1947" t="s">
        <v>1704</v>
      </c>
      <c r="C1947" t="s">
        <v>1309</v>
      </c>
      <c r="E1947" t="s">
        <v>2539</v>
      </c>
      <c r="G1947" t="s">
        <v>2247</v>
      </c>
      <c r="I1947" t="s">
        <v>1595</v>
      </c>
    </row>
    <row r="1948" spans="1:9" x14ac:dyDescent="0.3">
      <c r="A1948" t="s">
        <v>1705</v>
      </c>
      <c r="C1948" t="s">
        <v>1310</v>
      </c>
      <c r="E1948" t="s">
        <v>2540</v>
      </c>
      <c r="G1948" t="s">
        <v>2248</v>
      </c>
      <c r="I1948" t="s">
        <v>1596</v>
      </c>
    </row>
    <row r="1949" spans="1:9" x14ac:dyDescent="0.3">
      <c r="A1949" t="s">
        <v>1706</v>
      </c>
      <c r="C1949" t="s">
        <v>1311</v>
      </c>
      <c r="E1949" t="s">
        <v>2541</v>
      </c>
      <c r="G1949" t="s">
        <v>2249</v>
      </c>
      <c r="I1949" t="s">
        <v>1597</v>
      </c>
    </row>
    <row r="1950" spans="1:9" x14ac:dyDescent="0.3">
      <c r="A1950" t="s">
        <v>1709</v>
      </c>
      <c r="C1950" t="s">
        <v>1312</v>
      </c>
      <c r="E1950" t="s">
        <v>2542</v>
      </c>
      <c r="G1950" t="s">
        <v>2250</v>
      </c>
      <c r="I1950" t="s">
        <v>1598</v>
      </c>
    </row>
    <row r="1951" spans="1:9" x14ac:dyDescent="0.3">
      <c r="A1951" t="s">
        <v>1710</v>
      </c>
      <c r="C1951" t="s">
        <v>1313</v>
      </c>
      <c r="E1951" t="s">
        <v>2543</v>
      </c>
      <c r="G1951" t="s">
        <v>2251</v>
      </c>
      <c r="I1951" t="s">
        <v>1599</v>
      </c>
    </row>
    <row r="1952" spans="1:9" x14ac:dyDescent="0.3">
      <c r="C1952" t="s">
        <v>1314</v>
      </c>
      <c r="E1952" t="s">
        <v>3664</v>
      </c>
      <c r="G1952" t="s">
        <v>2252</v>
      </c>
      <c r="I1952" t="s">
        <v>1600</v>
      </c>
    </row>
    <row r="1953" spans="1:9" x14ac:dyDescent="0.3">
      <c r="C1953" t="s">
        <v>1315</v>
      </c>
      <c r="E1953" t="s">
        <v>2547</v>
      </c>
      <c r="G1953" t="s">
        <v>2254</v>
      </c>
      <c r="I1953" t="s">
        <v>1601</v>
      </c>
    </row>
    <row r="1954" spans="1:9" x14ac:dyDescent="0.3">
      <c r="A1954" t="s">
        <v>1711</v>
      </c>
      <c r="C1954" t="s">
        <v>1316</v>
      </c>
      <c r="E1954" t="s">
        <v>3665</v>
      </c>
      <c r="G1954" t="s">
        <v>2255</v>
      </c>
      <c r="I1954" t="s">
        <v>1602</v>
      </c>
    </row>
    <row r="1955" spans="1:9" x14ac:dyDescent="0.3">
      <c r="A1955" t="s">
        <v>1554</v>
      </c>
      <c r="C1955" t="s">
        <v>1317</v>
      </c>
      <c r="E1955" t="s">
        <v>2550</v>
      </c>
      <c r="G1955" t="s">
        <v>2256</v>
      </c>
      <c r="I1955" t="s">
        <v>1603</v>
      </c>
    </row>
    <row r="1956" spans="1:9" x14ac:dyDescent="0.3">
      <c r="C1956" t="s">
        <v>1318</v>
      </c>
      <c r="E1956" t="s">
        <v>2551</v>
      </c>
      <c r="G1956" t="s">
        <v>2257</v>
      </c>
      <c r="I1956" t="s">
        <v>1604</v>
      </c>
    </row>
    <row r="1957" spans="1:9" x14ac:dyDescent="0.3">
      <c r="A1957" t="s">
        <v>1712</v>
      </c>
      <c r="C1957" t="s">
        <v>1319</v>
      </c>
      <c r="E1957" t="s">
        <v>2552</v>
      </c>
      <c r="G1957" t="s">
        <v>2258</v>
      </c>
      <c r="I1957" t="s">
        <v>1605</v>
      </c>
    </row>
    <row r="1958" spans="1:9" x14ac:dyDescent="0.3">
      <c r="A1958" t="s">
        <v>1713</v>
      </c>
      <c r="C1958" t="s">
        <v>1320</v>
      </c>
      <c r="E1958" t="s">
        <v>2553</v>
      </c>
      <c r="G1958" t="s">
        <v>2259</v>
      </c>
    </row>
    <row r="1959" spans="1:9" x14ac:dyDescent="0.3">
      <c r="A1959" t="s">
        <v>89</v>
      </c>
      <c r="C1959" t="s">
        <v>89</v>
      </c>
      <c r="E1959" t="s">
        <v>2554</v>
      </c>
      <c r="G1959" t="s">
        <v>2260</v>
      </c>
    </row>
    <row r="1960" spans="1:9" x14ac:dyDescent="0.3">
      <c r="A1960" t="s">
        <v>1714</v>
      </c>
      <c r="C1960" t="s">
        <v>1321</v>
      </c>
      <c r="G1960" t="s">
        <v>2261</v>
      </c>
      <c r="I1960" t="s">
        <v>1606</v>
      </c>
    </row>
    <row r="1961" spans="1:9" x14ac:dyDescent="0.3">
      <c r="A1961" t="s">
        <v>1715</v>
      </c>
      <c r="C1961" t="s">
        <v>1322</v>
      </c>
      <c r="G1961" t="s">
        <v>2262</v>
      </c>
      <c r="I1961" t="s">
        <v>1554</v>
      </c>
    </row>
    <row r="1962" spans="1:9" x14ac:dyDescent="0.3">
      <c r="A1962" t="s">
        <v>1716</v>
      </c>
      <c r="E1962" t="s">
        <v>1548</v>
      </c>
      <c r="G1962" t="s">
        <v>2263</v>
      </c>
    </row>
    <row r="1963" spans="1:9" x14ac:dyDescent="0.3">
      <c r="A1963" t="s">
        <v>1717</v>
      </c>
      <c r="E1963" t="s">
        <v>1911</v>
      </c>
      <c r="G1963" t="s">
        <v>2264</v>
      </c>
      <c r="I1963" t="s">
        <v>3220</v>
      </c>
    </row>
    <row r="1964" spans="1:9" x14ac:dyDescent="0.3">
      <c r="A1964" t="s">
        <v>1718</v>
      </c>
      <c r="C1964" t="s">
        <v>1323</v>
      </c>
      <c r="G1964" t="s">
        <v>2265</v>
      </c>
    </row>
    <row r="1965" spans="1:9" x14ac:dyDescent="0.3">
      <c r="A1965" t="s">
        <v>1719</v>
      </c>
      <c r="C1965" t="s">
        <v>1503</v>
      </c>
      <c r="E1965" t="s">
        <v>3213</v>
      </c>
      <c r="G1965" t="s">
        <v>2266</v>
      </c>
      <c r="I1965" t="s">
        <v>1607</v>
      </c>
    </row>
    <row r="1966" spans="1:9" x14ac:dyDescent="0.3">
      <c r="A1966" t="s">
        <v>1720</v>
      </c>
      <c r="G1966" t="s">
        <v>2267</v>
      </c>
      <c r="I1966" t="s">
        <v>1608</v>
      </c>
    </row>
    <row r="1967" spans="1:9" x14ac:dyDescent="0.3">
      <c r="A1967" t="s">
        <v>1721</v>
      </c>
      <c r="C1967" t="s">
        <v>3198</v>
      </c>
      <c r="E1967" t="s">
        <v>2555</v>
      </c>
      <c r="G1967" t="s">
        <v>2268</v>
      </c>
      <c r="I1967" t="s">
        <v>1609</v>
      </c>
    </row>
    <row r="1968" spans="1:9" x14ac:dyDescent="0.3">
      <c r="A1968" t="s">
        <v>1722</v>
      </c>
      <c r="E1968" t="s">
        <v>3666</v>
      </c>
      <c r="G1968" t="s">
        <v>2269</v>
      </c>
    </row>
    <row r="1969" spans="1:9" x14ac:dyDescent="0.3">
      <c r="A1969" t="s">
        <v>1723</v>
      </c>
      <c r="C1969" t="s">
        <v>1318</v>
      </c>
      <c r="E1969" t="s">
        <v>2559</v>
      </c>
      <c r="G1969">
        <v>7</v>
      </c>
    </row>
    <row r="1970" spans="1:9" x14ac:dyDescent="0.3">
      <c r="A1970" t="s">
        <v>1724</v>
      </c>
      <c r="C1970" t="s">
        <v>1319</v>
      </c>
      <c r="E1970" t="s">
        <v>3667</v>
      </c>
      <c r="G1970" t="s">
        <v>89</v>
      </c>
      <c r="I1970" t="s">
        <v>1610</v>
      </c>
    </row>
    <row r="1971" spans="1:9" x14ac:dyDescent="0.3">
      <c r="A1971" t="s">
        <v>1725</v>
      </c>
      <c r="C1971" t="s">
        <v>1320</v>
      </c>
      <c r="E1971" t="s">
        <v>2562</v>
      </c>
      <c r="G1971" t="s">
        <v>2270</v>
      </c>
      <c r="I1971" t="s">
        <v>1554</v>
      </c>
    </row>
    <row r="1972" spans="1:9" x14ac:dyDescent="0.3">
      <c r="A1972" t="s">
        <v>1726</v>
      </c>
      <c r="C1972" t="s">
        <v>89</v>
      </c>
      <c r="E1972" t="s">
        <v>2563</v>
      </c>
      <c r="G1972" t="s">
        <v>2271</v>
      </c>
    </row>
    <row r="1973" spans="1:9" x14ac:dyDescent="0.3">
      <c r="A1973" t="s">
        <v>1727</v>
      </c>
      <c r="C1973" t="s">
        <v>1321</v>
      </c>
      <c r="E1973" t="s">
        <v>3668</v>
      </c>
      <c r="G1973" t="s">
        <v>2272</v>
      </c>
      <c r="I1973" t="s">
        <v>3221</v>
      </c>
    </row>
    <row r="1974" spans="1:9" x14ac:dyDescent="0.3">
      <c r="A1974" t="s">
        <v>1728</v>
      </c>
      <c r="C1974" t="s">
        <v>1324</v>
      </c>
      <c r="E1974" t="s">
        <v>2566</v>
      </c>
    </row>
    <row r="1975" spans="1:9" x14ac:dyDescent="0.3">
      <c r="A1975" t="s">
        <v>1729</v>
      </c>
      <c r="C1975" t="s">
        <v>1325</v>
      </c>
      <c r="E1975" t="e">
        <f>- lettera raccomandata o telegramma spediti al domicilio di</f>
        <v>#NAME?</v>
      </c>
      <c r="I1975" t="s">
        <v>1611</v>
      </c>
    </row>
    <row r="1976" spans="1:9" x14ac:dyDescent="0.3">
      <c r="A1976" t="s">
        <v>1730</v>
      </c>
      <c r="C1976" t="s">
        <v>1326</v>
      </c>
      <c r="E1976" t="s">
        <v>2567</v>
      </c>
      <c r="G1976" t="s">
        <v>1114</v>
      </c>
      <c r="I1976" t="s">
        <v>1612</v>
      </c>
    </row>
    <row r="1977" spans="1:9" x14ac:dyDescent="0.3">
      <c r="A1977" t="s">
        <v>1731</v>
      </c>
      <c r="C1977" t="s">
        <v>1327</v>
      </c>
      <c r="E1977" t="s">
        <v>2568</v>
      </c>
      <c r="G1977" t="s">
        <v>1911</v>
      </c>
      <c r="I1977" t="s">
        <v>1613</v>
      </c>
    </row>
    <row r="1978" spans="1:9" x14ac:dyDescent="0.3">
      <c r="A1978" t="s">
        <v>1732</v>
      </c>
      <c r="C1978" t="s">
        <v>1328</v>
      </c>
      <c r="E1978" t="s">
        <v>2569</v>
      </c>
      <c r="I1978" t="s">
        <v>1614</v>
      </c>
    </row>
    <row r="1979" spans="1:9" x14ac:dyDescent="0.3">
      <c r="C1979" t="s">
        <v>89</v>
      </c>
      <c r="E1979" t="s">
        <v>2570</v>
      </c>
      <c r="G1979" t="s">
        <v>3188</v>
      </c>
    </row>
    <row r="1980" spans="1:9" x14ac:dyDescent="0.3">
      <c r="C1980" t="s">
        <v>1329</v>
      </c>
      <c r="E1980" t="s">
        <v>2571</v>
      </c>
    </row>
    <row r="1981" spans="1:9" x14ac:dyDescent="0.3">
      <c r="A1981" t="s">
        <v>1733</v>
      </c>
      <c r="C1981" t="s">
        <v>1330</v>
      </c>
      <c r="E1981" t="s">
        <v>2572</v>
      </c>
      <c r="G1981" t="s">
        <v>2268</v>
      </c>
      <c r="I1981" t="s">
        <v>1615</v>
      </c>
    </row>
    <row r="1982" spans="1:9" x14ac:dyDescent="0.3">
      <c r="A1982" t="s">
        <v>1554</v>
      </c>
      <c r="C1982" t="s">
        <v>1331</v>
      </c>
      <c r="E1982" t="s">
        <v>3669</v>
      </c>
      <c r="G1982" t="s">
        <v>2269</v>
      </c>
      <c r="I1982" t="s">
        <v>1554</v>
      </c>
    </row>
    <row r="1983" spans="1:9" x14ac:dyDescent="0.3">
      <c r="C1983" t="s">
        <v>1332</v>
      </c>
      <c r="E1983" t="s">
        <v>3670</v>
      </c>
      <c r="G1983">
        <v>7</v>
      </c>
    </row>
    <row r="1984" spans="1:9" x14ac:dyDescent="0.3">
      <c r="A1984" t="s">
        <v>1727</v>
      </c>
      <c r="E1984">
        <v>13</v>
      </c>
      <c r="G1984" t="s">
        <v>89</v>
      </c>
      <c r="I1984" t="s">
        <v>3222</v>
      </c>
    </row>
    <row r="1985" spans="1:9" x14ac:dyDescent="0.3">
      <c r="A1985" t="s">
        <v>1728</v>
      </c>
      <c r="E1985" t="s">
        <v>89</v>
      </c>
      <c r="G1985" t="s">
        <v>2270</v>
      </c>
    </row>
    <row r="1986" spans="1:9" x14ac:dyDescent="0.3">
      <c r="A1986" t="s">
        <v>1729</v>
      </c>
      <c r="C1986" t="s">
        <v>1333</v>
      </c>
      <c r="E1986" t="s">
        <v>2577</v>
      </c>
      <c r="G1986" t="s">
        <v>2271</v>
      </c>
      <c r="I1986" t="s">
        <v>1616</v>
      </c>
    </row>
    <row r="1987" spans="1:9" x14ac:dyDescent="0.3">
      <c r="A1987" t="s">
        <v>1730</v>
      </c>
      <c r="C1987" t="s">
        <v>1554</v>
      </c>
      <c r="E1987" t="s">
        <v>3671</v>
      </c>
      <c r="G1987" t="s">
        <v>2272</v>
      </c>
      <c r="I1987" t="s">
        <v>1617</v>
      </c>
    </row>
    <row r="1988" spans="1:9" x14ac:dyDescent="0.3">
      <c r="A1988" t="s">
        <v>1731</v>
      </c>
      <c r="E1988" t="s">
        <v>2580</v>
      </c>
      <c r="G1988" t="s">
        <v>2273</v>
      </c>
      <c r="I1988" t="s">
        <v>1618</v>
      </c>
    </row>
    <row r="1989" spans="1:9" x14ac:dyDescent="0.3">
      <c r="A1989" t="s">
        <v>1734</v>
      </c>
      <c r="C1989" t="s">
        <v>3199</v>
      </c>
      <c r="E1989" t="s">
        <v>3672</v>
      </c>
      <c r="G1989" t="s">
        <v>2274</v>
      </c>
      <c r="I1989" t="s">
        <v>1619</v>
      </c>
    </row>
    <row r="1990" spans="1:9" x14ac:dyDescent="0.3">
      <c r="A1990" t="s">
        <v>1735</v>
      </c>
      <c r="G1990" t="s">
        <v>2275</v>
      </c>
      <c r="I1990" t="s">
        <v>1620</v>
      </c>
    </row>
    <row r="1991" spans="1:9" x14ac:dyDescent="0.3">
      <c r="A1991" t="s">
        <v>491</v>
      </c>
      <c r="C1991" t="s">
        <v>3409</v>
      </c>
      <c r="G1991" t="s">
        <v>2276</v>
      </c>
      <c r="I1991" t="s">
        <v>1621</v>
      </c>
    </row>
    <row r="1992" spans="1:9" x14ac:dyDescent="0.3">
      <c r="A1992" t="s">
        <v>1736</v>
      </c>
      <c r="C1992" t="s">
        <v>1334</v>
      </c>
      <c r="E1992" t="s">
        <v>1550</v>
      </c>
      <c r="G1992" t="s">
        <v>2277</v>
      </c>
      <c r="I1992" t="s">
        <v>1622</v>
      </c>
    </row>
    <row r="1993" spans="1:9" x14ac:dyDescent="0.3">
      <c r="A1993" t="s">
        <v>1737</v>
      </c>
      <c r="C1993" t="s">
        <v>1335</v>
      </c>
      <c r="E1993" t="s">
        <v>1911</v>
      </c>
      <c r="G1993" t="s">
        <v>2278</v>
      </c>
      <c r="I1993" t="s">
        <v>1623</v>
      </c>
    </row>
    <row r="1994" spans="1:9" x14ac:dyDescent="0.3">
      <c r="A1994" t="s">
        <v>1738</v>
      </c>
      <c r="C1994" t="s">
        <v>1555</v>
      </c>
      <c r="G1994" t="s">
        <v>2280</v>
      </c>
      <c r="I1994" t="s">
        <v>1624</v>
      </c>
    </row>
    <row r="1995" spans="1:9" x14ac:dyDescent="0.3">
      <c r="A1995" t="s">
        <v>1739</v>
      </c>
      <c r="C1995" t="s">
        <v>3410</v>
      </c>
      <c r="E1995" t="s">
        <v>3214</v>
      </c>
      <c r="G1995" t="s">
        <v>2281</v>
      </c>
      <c r="I1995" t="s">
        <v>1625</v>
      </c>
    </row>
    <row r="1996" spans="1:9" x14ac:dyDescent="0.3">
      <c r="A1996" t="s">
        <v>1740</v>
      </c>
      <c r="C1996" t="s">
        <v>3411</v>
      </c>
      <c r="G1996" t="s">
        <v>2282</v>
      </c>
      <c r="I1996" t="s">
        <v>89</v>
      </c>
    </row>
    <row r="1997" spans="1:9" x14ac:dyDescent="0.3">
      <c r="A1997" t="s">
        <v>1741</v>
      </c>
      <c r="C1997" t="s">
        <v>3412</v>
      </c>
      <c r="E1997" t="s">
        <v>3673</v>
      </c>
      <c r="G1997" t="s">
        <v>2283</v>
      </c>
      <c r="I1997" t="s">
        <v>1626</v>
      </c>
    </row>
    <row r="1998" spans="1:9" x14ac:dyDescent="0.3">
      <c r="A1998" t="s">
        <v>1742</v>
      </c>
      <c r="C1998" t="s">
        <v>1558</v>
      </c>
      <c r="E1998" t="s">
        <v>2582</v>
      </c>
      <c r="G1998" t="s">
        <v>2285</v>
      </c>
      <c r="I1998" t="s">
        <v>1627</v>
      </c>
    </row>
    <row r="1999" spans="1:9" x14ac:dyDescent="0.3">
      <c r="A1999" t="s">
        <v>1743</v>
      </c>
      <c r="C1999" t="s">
        <v>1559</v>
      </c>
      <c r="E1999" t="s">
        <v>2583</v>
      </c>
      <c r="G1999" t="s">
        <v>2286</v>
      </c>
      <c r="I1999" t="s">
        <v>1628</v>
      </c>
    </row>
    <row r="2000" spans="1:9" x14ac:dyDescent="0.3">
      <c r="A2000" t="s">
        <v>1744</v>
      </c>
      <c r="C2000" t="s">
        <v>1560</v>
      </c>
      <c r="E2000" t="s">
        <v>3674</v>
      </c>
      <c r="G2000" t="s">
        <v>2287</v>
      </c>
      <c r="I2000" t="s">
        <v>1629</v>
      </c>
    </row>
    <row r="2001" spans="1:9" x14ac:dyDescent="0.3">
      <c r="A2001" t="s">
        <v>1745</v>
      </c>
      <c r="C2001" t="s">
        <v>1561</v>
      </c>
      <c r="E2001" t="s">
        <v>2586</v>
      </c>
      <c r="G2001" t="s">
        <v>2288</v>
      </c>
      <c r="I2001" t="s">
        <v>1630</v>
      </c>
    </row>
    <row r="2002" spans="1:9" x14ac:dyDescent="0.3">
      <c r="A2002" t="s">
        <v>1746</v>
      </c>
      <c r="C2002" t="s">
        <v>1562</v>
      </c>
      <c r="E2002" t="s">
        <v>2587</v>
      </c>
      <c r="G2002" t="s">
        <v>2289</v>
      </c>
      <c r="I2002" t="s">
        <v>1631</v>
      </c>
    </row>
    <row r="2003" spans="1:9" x14ac:dyDescent="0.3">
      <c r="A2003" t="s">
        <v>616</v>
      </c>
      <c r="C2003" t="s">
        <v>1563</v>
      </c>
      <c r="E2003" t="s">
        <v>2590</v>
      </c>
      <c r="G2003" t="s">
        <v>2290</v>
      </c>
      <c r="I2003" t="s">
        <v>1632</v>
      </c>
    </row>
    <row r="2004" spans="1:9" x14ac:dyDescent="0.3">
      <c r="A2004" t="s">
        <v>1747</v>
      </c>
      <c r="C2004" t="s">
        <v>1564</v>
      </c>
      <c r="E2004" t="s">
        <v>2591</v>
      </c>
      <c r="G2004" t="s">
        <v>2291</v>
      </c>
      <c r="I2004" t="s">
        <v>1633</v>
      </c>
    </row>
    <row r="2005" spans="1:9" x14ac:dyDescent="0.3">
      <c r="A2005" t="s">
        <v>1748</v>
      </c>
      <c r="C2005" t="s">
        <v>1565</v>
      </c>
      <c r="E2005" t="s">
        <v>2592</v>
      </c>
      <c r="G2005" t="s">
        <v>2292</v>
      </c>
      <c r="I2005" t="s">
        <v>1634</v>
      </c>
    </row>
    <row r="2006" spans="1:9" x14ac:dyDescent="0.3">
      <c r="A2006" t="s">
        <v>1749</v>
      </c>
      <c r="C2006" t="s">
        <v>1566</v>
      </c>
      <c r="E2006" t="s">
        <v>2593</v>
      </c>
      <c r="G2006" t="s">
        <v>2293</v>
      </c>
      <c r="I2006" t="s">
        <v>1635</v>
      </c>
    </row>
    <row r="2007" spans="1:9" x14ac:dyDescent="0.3">
      <c r="A2007" t="s">
        <v>1750</v>
      </c>
      <c r="C2007" t="s">
        <v>1567</v>
      </c>
      <c r="E2007" t="s">
        <v>2594</v>
      </c>
      <c r="G2007" t="s">
        <v>2294</v>
      </c>
      <c r="I2007" t="s">
        <v>1636</v>
      </c>
    </row>
    <row r="2008" spans="1:9" x14ac:dyDescent="0.3">
      <c r="C2008" t="s">
        <v>1568</v>
      </c>
      <c r="E2008" t="s">
        <v>2595</v>
      </c>
      <c r="G2008" t="s">
        <v>2295</v>
      </c>
    </row>
    <row r="2009" spans="1:9" x14ac:dyDescent="0.3">
      <c r="C2009" t="s">
        <v>1569</v>
      </c>
      <c r="E2009" t="s">
        <v>2596</v>
      </c>
      <c r="G2009" t="s">
        <v>2296</v>
      </c>
    </row>
    <row r="2010" spans="1:9" x14ac:dyDescent="0.3">
      <c r="A2010" t="s">
        <v>1751</v>
      </c>
      <c r="C2010" t="s">
        <v>1570</v>
      </c>
      <c r="E2010" t="s">
        <v>2597</v>
      </c>
      <c r="G2010" t="s">
        <v>2297</v>
      </c>
      <c r="I2010" t="s">
        <v>1637</v>
      </c>
    </row>
    <row r="2011" spans="1:9" x14ac:dyDescent="0.3">
      <c r="A2011" t="s">
        <v>1554</v>
      </c>
      <c r="C2011" t="s">
        <v>1571</v>
      </c>
      <c r="E2011" t="s">
        <v>2598</v>
      </c>
      <c r="G2011" t="s">
        <v>2298</v>
      </c>
      <c r="I2011" t="s">
        <v>1554</v>
      </c>
    </row>
    <row r="2012" spans="1:9" x14ac:dyDescent="0.3">
      <c r="C2012" t="s">
        <v>1572</v>
      </c>
      <c r="E2012" t="s">
        <v>2599</v>
      </c>
      <c r="G2012" t="s">
        <v>2299</v>
      </c>
    </row>
    <row r="2013" spans="1:9" x14ac:dyDescent="0.3">
      <c r="A2013" t="s">
        <v>616</v>
      </c>
      <c r="E2013" t="s">
        <v>2600</v>
      </c>
      <c r="G2013" t="s">
        <v>2300</v>
      </c>
      <c r="I2013" t="s">
        <v>3223</v>
      </c>
    </row>
    <row r="2014" spans="1:9" x14ac:dyDescent="0.3">
      <c r="A2014" t="s">
        <v>1747</v>
      </c>
      <c r="E2014" t="s">
        <v>2601</v>
      </c>
      <c r="G2014" t="s">
        <v>2301</v>
      </c>
    </row>
    <row r="2015" spans="1:9" x14ac:dyDescent="0.3">
      <c r="A2015" t="s">
        <v>1748</v>
      </c>
      <c r="C2015" t="s">
        <v>1522</v>
      </c>
      <c r="E2015" t="s">
        <v>2602</v>
      </c>
      <c r="G2015" t="s">
        <v>2302</v>
      </c>
      <c r="I2015" t="s">
        <v>1638</v>
      </c>
    </row>
    <row r="2016" spans="1:9" x14ac:dyDescent="0.3">
      <c r="A2016" t="s">
        <v>1749</v>
      </c>
      <c r="C2016" t="s">
        <v>1554</v>
      </c>
      <c r="E2016" t="s">
        <v>2603</v>
      </c>
      <c r="G2016" t="s">
        <v>2303</v>
      </c>
      <c r="I2016" t="s">
        <v>1639</v>
      </c>
    </row>
    <row r="2017" spans="1:9" x14ac:dyDescent="0.3">
      <c r="A2017" t="s">
        <v>1750</v>
      </c>
      <c r="E2017" t="s">
        <v>2604</v>
      </c>
      <c r="G2017" t="s">
        <v>2304</v>
      </c>
      <c r="I2017" t="s">
        <v>1640</v>
      </c>
    </row>
    <row r="2018" spans="1:9" x14ac:dyDescent="0.3">
      <c r="A2018" t="s">
        <v>1752</v>
      </c>
      <c r="C2018" t="s">
        <v>3200</v>
      </c>
      <c r="E2018" t="s">
        <v>3675</v>
      </c>
      <c r="G2018" t="s">
        <v>2305</v>
      </c>
      <c r="I2018" t="s">
        <v>1641</v>
      </c>
    </row>
    <row r="2019" spans="1:9" x14ac:dyDescent="0.3">
      <c r="A2019" t="s">
        <v>89</v>
      </c>
      <c r="E2019" t="s">
        <v>2608</v>
      </c>
      <c r="G2019" t="s">
        <v>2306</v>
      </c>
      <c r="I2019" t="s">
        <v>1642</v>
      </c>
    </row>
    <row r="2020" spans="1:9" x14ac:dyDescent="0.3">
      <c r="A2020" t="s">
        <v>1753</v>
      </c>
      <c r="C2020" t="s">
        <v>1569</v>
      </c>
      <c r="E2020" t="s">
        <v>2609</v>
      </c>
      <c r="G2020" t="s">
        <v>2307</v>
      </c>
      <c r="I2020" t="s">
        <v>1643</v>
      </c>
    </row>
    <row r="2021" spans="1:9" x14ac:dyDescent="0.3">
      <c r="A2021" t="s">
        <v>1754</v>
      </c>
      <c r="C2021" t="s">
        <v>1570</v>
      </c>
      <c r="E2021" t="s">
        <v>2610</v>
      </c>
      <c r="G2021" t="s">
        <v>3967</v>
      </c>
      <c r="I2021" t="s">
        <v>1644</v>
      </c>
    </row>
    <row r="2022" spans="1:9" x14ac:dyDescent="0.3">
      <c r="A2022" t="s">
        <v>1755</v>
      </c>
      <c r="C2022" t="s">
        <v>1571</v>
      </c>
      <c r="E2022" t="s">
        <v>2611</v>
      </c>
      <c r="I2022" t="s">
        <v>1645</v>
      </c>
    </row>
    <row r="2023" spans="1:9" x14ac:dyDescent="0.3">
      <c r="A2023" t="s">
        <v>1756</v>
      </c>
      <c r="C2023" t="s">
        <v>1572</v>
      </c>
      <c r="E2023" t="s">
        <v>2612</v>
      </c>
      <c r="I2023" t="s">
        <v>1646</v>
      </c>
    </row>
    <row r="2024" spans="1:9" x14ac:dyDescent="0.3">
      <c r="A2024" t="s">
        <v>1757</v>
      </c>
      <c r="C2024" t="s">
        <v>1573</v>
      </c>
      <c r="E2024" t="s">
        <v>2613</v>
      </c>
      <c r="G2024" t="s">
        <v>1137</v>
      </c>
      <c r="I2024" t="s">
        <v>1647</v>
      </c>
    </row>
    <row r="2025" spans="1:9" x14ac:dyDescent="0.3">
      <c r="A2025" t="s">
        <v>1758</v>
      </c>
      <c r="C2025" t="s">
        <v>1574</v>
      </c>
      <c r="E2025" t="s">
        <v>2614</v>
      </c>
      <c r="G2025" t="s">
        <v>1911</v>
      </c>
      <c r="I2025" t="s">
        <v>1648</v>
      </c>
    </row>
    <row r="2026" spans="1:9" x14ac:dyDescent="0.3">
      <c r="A2026" t="s">
        <v>1759</v>
      </c>
      <c r="C2026" t="s">
        <v>1575</v>
      </c>
      <c r="I2026" t="s">
        <v>1649</v>
      </c>
    </row>
    <row r="2027" spans="1:9" x14ac:dyDescent="0.3">
      <c r="A2027" t="s">
        <v>1760</v>
      </c>
      <c r="C2027" t="s">
        <v>1576</v>
      </c>
      <c r="G2027" t="s">
        <v>3189</v>
      </c>
      <c r="I2027" t="s">
        <v>1650</v>
      </c>
    </row>
    <row r="2028" spans="1:9" x14ac:dyDescent="0.3">
      <c r="A2028" t="s">
        <v>1761</v>
      </c>
      <c r="C2028" t="s">
        <v>1578</v>
      </c>
      <c r="E2028" t="s">
        <v>1552</v>
      </c>
      <c r="I2028" t="s">
        <v>1651</v>
      </c>
    </row>
    <row r="2029" spans="1:9" x14ac:dyDescent="0.3">
      <c r="A2029" t="s">
        <v>1762</v>
      </c>
      <c r="C2029" t="s">
        <v>1579</v>
      </c>
      <c r="E2029" t="s">
        <v>1911</v>
      </c>
      <c r="G2029" t="s">
        <v>2301</v>
      </c>
      <c r="I2029" t="s">
        <v>1652</v>
      </c>
    </row>
    <row r="2030" spans="1:9" x14ac:dyDescent="0.3">
      <c r="A2030" t="s">
        <v>1763</v>
      </c>
      <c r="C2030" t="s">
        <v>1580</v>
      </c>
      <c r="G2030" t="s">
        <v>2302</v>
      </c>
      <c r="I2030" t="s">
        <v>1653</v>
      </c>
    </row>
    <row r="2031" spans="1:9" x14ac:dyDescent="0.3">
      <c r="A2031" t="s">
        <v>1764</v>
      </c>
      <c r="C2031" t="s">
        <v>1581</v>
      </c>
      <c r="E2031" t="s">
        <v>3215</v>
      </c>
      <c r="G2031" t="s">
        <v>2303</v>
      </c>
      <c r="I2031" t="s">
        <v>1654</v>
      </c>
    </row>
    <row r="2032" spans="1:9" x14ac:dyDescent="0.3">
      <c r="A2032" t="s">
        <v>1765</v>
      </c>
      <c r="C2032" t="s">
        <v>1582</v>
      </c>
      <c r="G2032" t="s">
        <v>2304</v>
      </c>
      <c r="I2032" t="s">
        <v>1655</v>
      </c>
    </row>
    <row r="2033" spans="1:9" x14ac:dyDescent="0.3">
      <c r="A2033" t="s">
        <v>1766</v>
      </c>
      <c r="C2033" t="s">
        <v>1583</v>
      </c>
      <c r="E2033" t="s">
        <v>2616</v>
      </c>
      <c r="G2033" t="s">
        <v>2305</v>
      </c>
      <c r="I2033" t="s">
        <v>1656</v>
      </c>
    </row>
    <row r="2034" spans="1:9" x14ac:dyDescent="0.3">
      <c r="C2034" t="s">
        <v>1584</v>
      </c>
      <c r="E2034" t="s">
        <v>2617</v>
      </c>
      <c r="G2034" t="s">
        <v>2306</v>
      </c>
      <c r="I2034" t="s">
        <v>1657</v>
      </c>
    </row>
    <row r="2035" spans="1:9" x14ac:dyDescent="0.3">
      <c r="C2035" t="s">
        <v>1585</v>
      </c>
      <c r="E2035" t="s">
        <v>2618</v>
      </c>
      <c r="G2035" t="s">
        <v>2307</v>
      </c>
      <c r="I2035" t="s">
        <v>1658</v>
      </c>
    </row>
    <row r="2036" spans="1:9" x14ac:dyDescent="0.3">
      <c r="A2036" t="s">
        <v>1767</v>
      </c>
      <c r="C2036" t="s">
        <v>1586</v>
      </c>
      <c r="E2036" t="s">
        <v>2619</v>
      </c>
      <c r="G2036" t="s">
        <v>2308</v>
      </c>
      <c r="I2036" t="s">
        <v>1659</v>
      </c>
    </row>
    <row r="2037" spans="1:9" x14ac:dyDescent="0.3">
      <c r="A2037" t="s">
        <v>1554</v>
      </c>
      <c r="C2037" t="s">
        <v>725</v>
      </c>
      <c r="E2037" t="s">
        <v>2620</v>
      </c>
      <c r="G2037" t="s">
        <v>2309</v>
      </c>
    </row>
    <row r="2038" spans="1:9" x14ac:dyDescent="0.3">
      <c r="E2038" t="s">
        <v>2621</v>
      </c>
      <c r="G2038" t="s">
        <v>2310</v>
      </c>
    </row>
    <row r="2039" spans="1:9" x14ac:dyDescent="0.3">
      <c r="A2039" t="s">
        <v>1768</v>
      </c>
      <c r="E2039" t="s">
        <v>2622</v>
      </c>
      <c r="G2039" t="s">
        <v>2311</v>
      </c>
      <c r="I2039" t="s">
        <v>1660</v>
      </c>
    </row>
    <row r="2040" spans="1:9" x14ac:dyDescent="0.3">
      <c r="A2040" t="s">
        <v>1769</v>
      </c>
      <c r="C2040" t="s">
        <v>1524</v>
      </c>
      <c r="E2040" t="e">
        <f>- a ciascuno degli amministratori disgiuntamente in caso di</f>
        <v>#NAME?</v>
      </c>
      <c r="G2040" t="s">
        <v>2312</v>
      </c>
      <c r="I2040" t="s">
        <v>1554</v>
      </c>
    </row>
    <row r="2041" spans="1:9" x14ac:dyDescent="0.3">
      <c r="A2041" t="s">
        <v>1770</v>
      </c>
      <c r="C2041" t="s">
        <v>1554</v>
      </c>
      <c r="E2041" t="s">
        <v>2623</v>
      </c>
      <c r="G2041" t="s">
        <v>2313</v>
      </c>
    </row>
    <row r="2042" spans="1:9" x14ac:dyDescent="0.3">
      <c r="A2042" t="s">
        <v>1771</v>
      </c>
      <c r="E2042" t="s">
        <v>2624</v>
      </c>
      <c r="G2042" t="s">
        <v>2314</v>
      </c>
      <c r="I2042" t="s">
        <v>3224</v>
      </c>
    </row>
    <row r="2043" spans="1:9" x14ac:dyDescent="0.3">
      <c r="A2043" t="s">
        <v>1772</v>
      </c>
      <c r="C2043" t="s">
        <v>3201</v>
      </c>
      <c r="E2043" t="s">
        <v>2625</v>
      </c>
      <c r="G2043" t="s">
        <v>3441</v>
      </c>
    </row>
    <row r="2044" spans="1:9" x14ac:dyDescent="0.3">
      <c r="A2044" t="s">
        <v>1773</v>
      </c>
      <c r="E2044" t="s">
        <v>2626</v>
      </c>
      <c r="G2044" t="s">
        <v>2317</v>
      </c>
      <c r="I2044" t="s">
        <v>1655</v>
      </c>
    </row>
    <row r="2045" spans="1:9" x14ac:dyDescent="0.3">
      <c r="A2045" t="s">
        <v>1774</v>
      </c>
      <c r="C2045" t="s">
        <v>1584</v>
      </c>
      <c r="E2045" t="s">
        <v>3676</v>
      </c>
      <c r="G2045" t="s">
        <v>2318</v>
      </c>
      <c r="I2045" t="s">
        <v>1656</v>
      </c>
    </row>
    <row r="2046" spans="1:9" x14ac:dyDescent="0.3">
      <c r="A2046" t="s">
        <v>1775</v>
      </c>
      <c r="C2046" t="s">
        <v>1585</v>
      </c>
      <c r="E2046" t="s">
        <v>2630</v>
      </c>
      <c r="G2046" t="s">
        <v>2319</v>
      </c>
      <c r="I2046" t="s">
        <v>1657</v>
      </c>
    </row>
    <row r="2047" spans="1:9" x14ac:dyDescent="0.3">
      <c r="A2047" t="s">
        <v>1776</v>
      </c>
      <c r="C2047" t="s">
        <v>1586</v>
      </c>
      <c r="E2047">
        <v>14</v>
      </c>
      <c r="G2047" t="s">
        <v>2320</v>
      </c>
      <c r="I2047" t="s">
        <v>1658</v>
      </c>
    </row>
    <row r="2048" spans="1:9" x14ac:dyDescent="0.3">
      <c r="A2048" t="s">
        <v>1777</v>
      </c>
      <c r="C2048" t="s">
        <v>89</v>
      </c>
      <c r="E2048" t="s">
        <v>89</v>
      </c>
      <c r="G2048" t="s">
        <v>2321</v>
      </c>
      <c r="I2048" t="s">
        <v>1661</v>
      </c>
    </row>
    <row r="2049" spans="1:9" x14ac:dyDescent="0.3">
      <c r="A2049" t="s">
        <v>1778</v>
      </c>
      <c r="C2049" t="s">
        <v>1587</v>
      </c>
      <c r="E2049" t="s">
        <v>3677</v>
      </c>
      <c r="G2049" t="s">
        <v>467</v>
      </c>
      <c r="I2049" t="s">
        <v>1662</v>
      </c>
    </row>
    <row r="2050" spans="1:9" x14ac:dyDescent="0.3">
      <c r="A2050" t="s">
        <v>1779</v>
      </c>
      <c r="C2050" t="s">
        <v>1588</v>
      </c>
      <c r="E2050" t="s">
        <v>2633</v>
      </c>
      <c r="G2050">
        <v>8</v>
      </c>
      <c r="I2050" t="s">
        <v>1663</v>
      </c>
    </row>
    <row r="2051" spans="1:9" x14ac:dyDescent="0.3">
      <c r="A2051" t="s">
        <v>1780</v>
      </c>
      <c r="C2051" t="s">
        <v>1589</v>
      </c>
      <c r="E2051" t="s">
        <v>2634</v>
      </c>
      <c r="G2051" t="s">
        <v>89</v>
      </c>
      <c r="I2051" t="s">
        <v>1664</v>
      </c>
    </row>
    <row r="2052" spans="1:9" x14ac:dyDescent="0.3">
      <c r="A2052" t="s">
        <v>1781</v>
      </c>
      <c r="C2052" t="s">
        <v>1590</v>
      </c>
      <c r="E2052" t="s">
        <v>2635</v>
      </c>
      <c r="G2052" t="s">
        <v>2322</v>
      </c>
      <c r="I2052" t="s">
        <v>1665</v>
      </c>
    </row>
    <row r="2053" spans="1:9" x14ac:dyDescent="0.3">
      <c r="A2053" t="s">
        <v>1782</v>
      </c>
      <c r="C2053" t="s">
        <v>1591</v>
      </c>
      <c r="E2053" t="s">
        <v>3678</v>
      </c>
      <c r="G2053" t="s">
        <v>2323</v>
      </c>
      <c r="I2053" t="s">
        <v>89</v>
      </c>
    </row>
    <row r="2054" spans="1:9" x14ac:dyDescent="0.3">
      <c r="A2054" t="s">
        <v>1783</v>
      </c>
      <c r="C2054" t="s">
        <v>1594</v>
      </c>
      <c r="E2054" t="s">
        <v>2638</v>
      </c>
      <c r="G2054" t="s">
        <v>2324</v>
      </c>
      <c r="I2054" t="s">
        <v>1666</v>
      </c>
    </row>
    <row r="2055" spans="1:9" x14ac:dyDescent="0.3">
      <c r="A2055" t="s">
        <v>1784</v>
      </c>
      <c r="C2055" t="e">
        <f>- la consulenza alle imprese e alle persone in tue le forme e i seori.</f>
        <v>#NAME?</v>
      </c>
      <c r="E2055" t="s">
        <v>2639</v>
      </c>
      <c r="G2055" t="s">
        <v>2325</v>
      </c>
      <c r="I2055" t="s">
        <v>1667</v>
      </c>
    </row>
    <row r="2056" spans="1:9" x14ac:dyDescent="0.3">
      <c r="A2056" t="s">
        <v>1785</v>
      </c>
      <c r="C2056" t="s">
        <v>1595</v>
      </c>
      <c r="E2056" t="s">
        <v>3679</v>
      </c>
      <c r="G2056" t="s">
        <v>2326</v>
      </c>
      <c r="I2056" t="s">
        <v>1668</v>
      </c>
    </row>
    <row r="2057" spans="1:9" x14ac:dyDescent="0.3">
      <c r="A2057" t="s">
        <v>1786</v>
      </c>
      <c r="C2057" t="s">
        <v>1596</v>
      </c>
      <c r="E2057" t="s">
        <v>2643</v>
      </c>
      <c r="G2057" t="s">
        <v>2327</v>
      </c>
      <c r="I2057" t="s">
        <v>1669</v>
      </c>
    </row>
    <row r="2058" spans="1:9" x14ac:dyDescent="0.3">
      <c r="A2058" t="s">
        <v>1787</v>
      </c>
      <c r="C2058" t="s">
        <v>1597</v>
      </c>
      <c r="E2058" t="s">
        <v>2644</v>
      </c>
      <c r="G2058" t="s">
        <v>2328</v>
      </c>
      <c r="I2058" t="s">
        <v>1670</v>
      </c>
    </row>
    <row r="2059" spans="1:9" x14ac:dyDescent="0.3">
      <c r="A2059" t="s">
        <v>1788</v>
      </c>
      <c r="C2059" t="s">
        <v>1598</v>
      </c>
      <c r="E2059" t="s">
        <v>2645</v>
      </c>
      <c r="G2059" t="s">
        <v>2329</v>
      </c>
      <c r="I2059" t="s">
        <v>1671</v>
      </c>
    </row>
    <row r="2060" spans="1:9" x14ac:dyDescent="0.3">
      <c r="A2060" t="s">
        <v>1789</v>
      </c>
      <c r="C2060" t="s">
        <v>1599</v>
      </c>
      <c r="E2060" t="s">
        <v>3680</v>
      </c>
      <c r="G2060" t="s">
        <v>2330</v>
      </c>
      <c r="I2060" t="s">
        <v>1672</v>
      </c>
    </row>
    <row r="2061" spans="1:9" x14ac:dyDescent="0.3">
      <c r="A2061" t="s">
        <v>725</v>
      </c>
      <c r="C2061" t="s">
        <v>1600</v>
      </c>
      <c r="G2061" t="s">
        <v>2331</v>
      </c>
      <c r="I2061" t="s">
        <v>1673</v>
      </c>
    </row>
    <row r="2062" spans="1:9" x14ac:dyDescent="0.3">
      <c r="C2062" t="s">
        <v>1601</v>
      </c>
      <c r="G2062" t="s">
        <v>3443</v>
      </c>
    </row>
    <row r="2063" spans="1:9" x14ac:dyDescent="0.3">
      <c r="C2063" t="s">
        <v>1602</v>
      </c>
      <c r="E2063" t="s">
        <v>1553</v>
      </c>
      <c r="G2063" t="s">
        <v>2334</v>
      </c>
    </row>
    <row r="2064" spans="1:9" x14ac:dyDescent="0.3">
      <c r="A2064" t="s">
        <v>1790</v>
      </c>
      <c r="E2064" t="s">
        <v>1911</v>
      </c>
      <c r="G2064" t="s">
        <v>2335</v>
      </c>
      <c r="I2064" t="s">
        <v>1674</v>
      </c>
    </row>
    <row r="2065" spans="1:9" x14ac:dyDescent="0.3">
      <c r="A2065" t="s">
        <v>1554</v>
      </c>
      <c r="G2065" t="s">
        <v>2336</v>
      </c>
      <c r="I2065" t="s">
        <v>1554</v>
      </c>
    </row>
    <row r="2066" spans="1:9" x14ac:dyDescent="0.3">
      <c r="C2066" t="s">
        <v>1526</v>
      </c>
      <c r="E2066" t="s">
        <v>3216</v>
      </c>
      <c r="G2066" t="s">
        <v>2337</v>
      </c>
    </row>
    <row r="2067" spans="1:9" x14ac:dyDescent="0.3">
      <c r="A2067" t="s">
        <v>1786</v>
      </c>
      <c r="C2067" t="s">
        <v>1554</v>
      </c>
      <c r="G2067" t="s">
        <v>3444</v>
      </c>
      <c r="I2067" t="s">
        <v>3225</v>
      </c>
    </row>
    <row r="2068" spans="1:9" x14ac:dyDescent="0.3">
      <c r="A2068" t="s">
        <v>1787</v>
      </c>
      <c r="E2068" t="s">
        <v>2649</v>
      </c>
      <c r="G2068" t="s">
        <v>2340</v>
      </c>
    </row>
    <row r="2069" spans="1:9" x14ac:dyDescent="0.3">
      <c r="A2069" t="s">
        <v>1788</v>
      </c>
      <c r="C2069" t="s">
        <v>3202</v>
      </c>
      <c r="E2069" t="s">
        <v>2650</v>
      </c>
      <c r="G2069" t="s">
        <v>2341</v>
      </c>
      <c r="I2069" t="s">
        <v>1670</v>
      </c>
    </row>
    <row r="2070" spans="1:9" x14ac:dyDescent="0.3">
      <c r="A2070" t="s">
        <v>1789</v>
      </c>
      <c r="E2070" t="s">
        <v>2651</v>
      </c>
      <c r="G2070" t="s">
        <v>2342</v>
      </c>
      <c r="I2070" t="s">
        <v>1671</v>
      </c>
    </row>
    <row r="2071" spans="1:9" x14ac:dyDescent="0.3">
      <c r="A2071" t="s">
        <v>89</v>
      </c>
      <c r="C2071" t="s">
        <v>1599</v>
      </c>
      <c r="E2071" t="s">
        <v>2652</v>
      </c>
      <c r="I2071" t="s">
        <v>1672</v>
      </c>
    </row>
    <row r="2072" spans="1:9" x14ac:dyDescent="0.3">
      <c r="A2072" t="s">
        <v>1791</v>
      </c>
      <c r="C2072" t="s">
        <v>1600</v>
      </c>
      <c r="E2072" t="s">
        <v>2653</v>
      </c>
      <c r="I2072" t="s">
        <v>1675</v>
      </c>
    </row>
    <row r="2073" spans="1:9" x14ac:dyDescent="0.3">
      <c r="A2073" t="s">
        <v>1792</v>
      </c>
      <c r="C2073" t="s">
        <v>1601</v>
      </c>
      <c r="E2073" t="s">
        <v>2654</v>
      </c>
      <c r="G2073" t="s">
        <v>1158</v>
      </c>
      <c r="I2073" t="s">
        <v>1676</v>
      </c>
    </row>
    <row r="2074" spans="1:9" x14ac:dyDescent="0.3">
      <c r="A2074" t="s">
        <v>1793</v>
      </c>
      <c r="C2074" t="s">
        <v>1602</v>
      </c>
      <c r="E2074" t="s">
        <v>2655</v>
      </c>
      <c r="G2074" t="s">
        <v>1911</v>
      </c>
      <c r="I2074" t="s">
        <v>1677</v>
      </c>
    </row>
    <row r="2075" spans="1:9" x14ac:dyDescent="0.3">
      <c r="A2075" t="s">
        <v>1794</v>
      </c>
      <c r="C2075" t="s">
        <v>1603</v>
      </c>
      <c r="E2075" t="s">
        <v>3681</v>
      </c>
      <c r="I2075" t="s">
        <v>1678</v>
      </c>
    </row>
    <row r="2076" spans="1:9" x14ac:dyDescent="0.3">
      <c r="A2076" t="s">
        <v>1795</v>
      </c>
      <c r="C2076" t="s">
        <v>1604</v>
      </c>
      <c r="E2076" t="s">
        <v>2658</v>
      </c>
      <c r="G2076" t="s">
        <v>3190</v>
      </c>
      <c r="I2076" t="s">
        <v>1679</v>
      </c>
    </row>
    <row r="2077" spans="1:9" x14ac:dyDescent="0.3">
      <c r="A2077" t="s">
        <v>1796</v>
      </c>
      <c r="C2077" t="s">
        <v>3413</v>
      </c>
      <c r="E2077" t="s">
        <v>3682</v>
      </c>
      <c r="I2077" t="s">
        <v>1680</v>
      </c>
    </row>
    <row r="2078" spans="1:9" x14ac:dyDescent="0.3">
      <c r="A2078" t="s">
        <v>1797</v>
      </c>
      <c r="C2078" t="s">
        <v>1607</v>
      </c>
      <c r="E2078" t="s">
        <v>2661</v>
      </c>
      <c r="G2078" t="s">
        <v>3443</v>
      </c>
      <c r="I2078" t="s">
        <v>1681</v>
      </c>
    </row>
    <row r="2079" spans="1:9" x14ac:dyDescent="0.3">
      <c r="A2079" t="s">
        <v>1798</v>
      </c>
      <c r="C2079" t="s">
        <v>1608</v>
      </c>
      <c r="E2079" t="s">
        <v>3683</v>
      </c>
      <c r="G2079" t="s">
        <v>2334</v>
      </c>
      <c r="I2079" t="s">
        <v>1682</v>
      </c>
    </row>
    <row r="2080" spans="1:9" x14ac:dyDescent="0.3">
      <c r="A2080" t="s">
        <v>1799</v>
      </c>
      <c r="C2080" t="s">
        <v>3414</v>
      </c>
      <c r="E2080" t="s">
        <v>2664</v>
      </c>
      <c r="G2080" t="s">
        <v>2335</v>
      </c>
      <c r="I2080" t="s">
        <v>1683</v>
      </c>
    </row>
    <row r="2081" spans="1:9" x14ac:dyDescent="0.3">
      <c r="A2081" t="s">
        <v>1800</v>
      </c>
      <c r="C2081" t="s">
        <v>1611</v>
      </c>
      <c r="E2081" t="s">
        <v>2665</v>
      </c>
      <c r="G2081" t="s">
        <v>2336</v>
      </c>
      <c r="I2081" t="s">
        <v>1684</v>
      </c>
    </row>
    <row r="2082" spans="1:9" x14ac:dyDescent="0.3">
      <c r="A2082" t="s">
        <v>1801</v>
      </c>
      <c r="C2082" t="s">
        <v>1612</v>
      </c>
      <c r="E2082" t="s">
        <v>2666</v>
      </c>
      <c r="G2082" t="s">
        <v>2337</v>
      </c>
      <c r="I2082" t="s">
        <v>1685</v>
      </c>
    </row>
    <row r="2083" spans="1:9" x14ac:dyDescent="0.3">
      <c r="A2083" t="s">
        <v>1802</v>
      </c>
      <c r="C2083" t="s">
        <v>1613</v>
      </c>
      <c r="E2083" t="s">
        <v>3684</v>
      </c>
      <c r="G2083" t="s">
        <v>3444</v>
      </c>
      <c r="I2083" t="s">
        <v>1686</v>
      </c>
    </row>
    <row r="2084" spans="1:9" x14ac:dyDescent="0.3">
      <c r="A2084" t="s">
        <v>1803</v>
      </c>
      <c r="C2084" t="s">
        <v>3415</v>
      </c>
      <c r="E2084" t="s">
        <v>2669</v>
      </c>
      <c r="G2084" t="s">
        <v>2340</v>
      </c>
      <c r="I2084" t="s">
        <v>1687</v>
      </c>
    </row>
    <row r="2085" spans="1:9" x14ac:dyDescent="0.3">
      <c r="A2085" t="s">
        <v>1804</v>
      </c>
      <c r="C2085" t="s">
        <v>1616</v>
      </c>
      <c r="E2085" t="s">
        <v>2670</v>
      </c>
      <c r="G2085" t="s">
        <v>2341</v>
      </c>
      <c r="I2085" t="s">
        <v>1688</v>
      </c>
    </row>
    <row r="2086" spans="1:9" x14ac:dyDescent="0.3">
      <c r="A2086" t="s">
        <v>1805</v>
      </c>
      <c r="C2086" t="s">
        <v>1617</v>
      </c>
      <c r="E2086" t="s">
        <v>2671</v>
      </c>
      <c r="G2086" t="s">
        <v>2342</v>
      </c>
      <c r="I2086" t="s">
        <v>1689</v>
      </c>
    </row>
    <row r="2087" spans="1:9" x14ac:dyDescent="0.3">
      <c r="A2087" t="s">
        <v>1806</v>
      </c>
      <c r="C2087" t="s">
        <v>1618</v>
      </c>
      <c r="E2087" t="s">
        <v>3685</v>
      </c>
      <c r="G2087" t="s">
        <v>2343</v>
      </c>
      <c r="I2087" t="s">
        <v>1690</v>
      </c>
    </row>
    <row r="2088" spans="1:9" x14ac:dyDescent="0.3">
      <c r="A2088" t="s">
        <v>1807</v>
      </c>
      <c r="C2088" t="s">
        <v>1619</v>
      </c>
      <c r="E2088" t="s">
        <v>2675</v>
      </c>
      <c r="G2088" t="s">
        <v>2344</v>
      </c>
    </row>
    <row r="2089" spans="1:9" x14ac:dyDescent="0.3">
      <c r="C2089" t="s">
        <v>1620</v>
      </c>
      <c r="E2089" t="s">
        <v>2676</v>
      </c>
      <c r="G2089" t="s">
        <v>2345</v>
      </c>
    </row>
    <row r="2090" spans="1:9" x14ac:dyDescent="0.3">
      <c r="C2090" t="s">
        <v>1621</v>
      </c>
      <c r="E2090" t="s">
        <v>2677</v>
      </c>
      <c r="G2090" t="s">
        <v>2346</v>
      </c>
      <c r="I2090" t="s">
        <v>1691</v>
      </c>
    </row>
    <row r="2091" spans="1:9" x14ac:dyDescent="0.3">
      <c r="A2091" t="s">
        <v>1808</v>
      </c>
      <c r="C2091" t="s">
        <v>1622</v>
      </c>
      <c r="E2091" t="s">
        <v>3686</v>
      </c>
      <c r="G2091" t="s">
        <v>2347</v>
      </c>
      <c r="I2091" t="s">
        <v>1554</v>
      </c>
    </row>
    <row r="2092" spans="1:9" x14ac:dyDescent="0.3">
      <c r="A2092" t="s">
        <v>1554</v>
      </c>
      <c r="C2092" t="s">
        <v>1623</v>
      </c>
      <c r="E2092" t="s">
        <v>2681</v>
      </c>
      <c r="G2092" t="s">
        <v>2348</v>
      </c>
    </row>
    <row r="2093" spans="1:9" x14ac:dyDescent="0.3">
      <c r="C2093" t="s">
        <v>1624</v>
      </c>
      <c r="E2093" t="s">
        <v>2682</v>
      </c>
      <c r="G2093" t="s">
        <v>2349</v>
      </c>
      <c r="I2093" t="s">
        <v>3226</v>
      </c>
    </row>
    <row r="2094" spans="1:9" x14ac:dyDescent="0.3">
      <c r="A2094" t="s">
        <v>1803</v>
      </c>
      <c r="C2094" t="s">
        <v>1625</v>
      </c>
      <c r="G2094" t="s">
        <v>2350</v>
      </c>
    </row>
    <row r="2095" spans="1:9" x14ac:dyDescent="0.3">
      <c r="A2095" t="s">
        <v>1804</v>
      </c>
      <c r="C2095" t="s">
        <v>725</v>
      </c>
      <c r="G2095" t="s">
        <v>2351</v>
      </c>
      <c r="I2095" t="s">
        <v>1687</v>
      </c>
    </row>
    <row r="2096" spans="1:9" x14ac:dyDescent="0.3">
      <c r="A2096" t="s">
        <v>1805</v>
      </c>
      <c r="E2096" t="s">
        <v>1557</v>
      </c>
      <c r="G2096" t="s">
        <v>2352</v>
      </c>
      <c r="I2096" t="s">
        <v>1688</v>
      </c>
    </row>
    <row r="2097" spans="1:9" x14ac:dyDescent="0.3">
      <c r="A2097" t="s">
        <v>1806</v>
      </c>
      <c r="E2097" t="s">
        <v>1911</v>
      </c>
      <c r="G2097" t="s">
        <v>2353</v>
      </c>
      <c r="I2097" t="s">
        <v>1689</v>
      </c>
    </row>
    <row r="2098" spans="1:9" x14ac:dyDescent="0.3">
      <c r="A2098" t="s">
        <v>1807</v>
      </c>
      <c r="C2098" t="s">
        <v>1528</v>
      </c>
      <c r="G2098" t="s">
        <v>2354</v>
      </c>
      <c r="I2098" t="s">
        <v>1692</v>
      </c>
    </row>
    <row r="2099" spans="1:9" x14ac:dyDescent="0.3">
      <c r="A2099" t="s">
        <v>1809</v>
      </c>
      <c r="C2099" t="s">
        <v>1554</v>
      </c>
      <c r="E2099" t="s">
        <v>3217</v>
      </c>
      <c r="G2099" t="s">
        <v>2355</v>
      </c>
      <c r="I2099" t="s">
        <v>1693</v>
      </c>
    </row>
    <row r="2100" spans="1:9" x14ac:dyDescent="0.3">
      <c r="A2100" t="s">
        <v>1810</v>
      </c>
      <c r="G2100" t="s">
        <v>2356</v>
      </c>
      <c r="I2100" t="s">
        <v>1694</v>
      </c>
    </row>
    <row r="2101" spans="1:9" x14ac:dyDescent="0.3">
      <c r="A2101" t="s">
        <v>1811</v>
      </c>
      <c r="C2101" t="s">
        <v>3203</v>
      </c>
      <c r="E2101" t="s">
        <v>2683</v>
      </c>
      <c r="G2101" t="s">
        <v>2357</v>
      </c>
      <c r="I2101" t="s">
        <v>1695</v>
      </c>
    </row>
    <row r="2102" spans="1:9" x14ac:dyDescent="0.3">
      <c r="A2102" t="s">
        <v>1812</v>
      </c>
      <c r="E2102" t="s">
        <v>2685</v>
      </c>
      <c r="G2102" t="s">
        <v>2358</v>
      </c>
      <c r="I2102" t="s">
        <v>1696</v>
      </c>
    </row>
    <row r="2103" spans="1:9" x14ac:dyDescent="0.3">
      <c r="A2103" t="s">
        <v>1813</v>
      </c>
      <c r="C2103" t="s">
        <v>1621</v>
      </c>
      <c r="E2103">
        <v>15</v>
      </c>
      <c r="G2103" t="s">
        <v>2359</v>
      </c>
      <c r="I2103" t="s">
        <v>1697</v>
      </c>
    </row>
    <row r="2104" spans="1:9" x14ac:dyDescent="0.3">
      <c r="A2104" t="s">
        <v>1814</v>
      </c>
      <c r="C2104" t="s">
        <v>1622</v>
      </c>
      <c r="E2104" t="s">
        <v>89</v>
      </c>
      <c r="G2104" t="s">
        <v>2360</v>
      </c>
      <c r="I2104" t="s">
        <v>1698</v>
      </c>
    </row>
    <row r="2105" spans="1:9" x14ac:dyDescent="0.3">
      <c r="A2105" t="s">
        <v>1815</v>
      </c>
      <c r="C2105" t="s">
        <v>1623</v>
      </c>
      <c r="E2105" t="s">
        <v>2686</v>
      </c>
      <c r="G2105" t="s">
        <v>2361</v>
      </c>
      <c r="I2105" t="s">
        <v>1699</v>
      </c>
    </row>
    <row r="2106" spans="1:9" x14ac:dyDescent="0.3">
      <c r="A2106" t="s">
        <v>1816</v>
      </c>
      <c r="C2106" t="s">
        <v>1624</v>
      </c>
      <c r="E2106" t="s">
        <v>3687</v>
      </c>
      <c r="G2106" t="s">
        <v>2362</v>
      </c>
      <c r="I2106" t="s">
        <v>1700</v>
      </c>
    </row>
    <row r="2107" spans="1:9" x14ac:dyDescent="0.3">
      <c r="A2107" t="s">
        <v>1817</v>
      </c>
      <c r="C2107" t="s">
        <v>1625</v>
      </c>
      <c r="E2107" t="s">
        <v>2689</v>
      </c>
      <c r="G2107" t="s">
        <v>657</v>
      </c>
      <c r="I2107" t="s">
        <v>1701</v>
      </c>
    </row>
    <row r="2108" spans="1:9" x14ac:dyDescent="0.3">
      <c r="A2108" t="s">
        <v>1818</v>
      </c>
      <c r="C2108" t="s">
        <v>89</v>
      </c>
      <c r="E2108" t="s">
        <v>2690</v>
      </c>
      <c r="G2108" t="s">
        <v>2363</v>
      </c>
      <c r="I2108" t="s">
        <v>1702</v>
      </c>
    </row>
    <row r="2109" spans="1:9" x14ac:dyDescent="0.3">
      <c r="A2109" t="s">
        <v>1819</v>
      </c>
      <c r="C2109" t="s">
        <v>1626</v>
      </c>
      <c r="E2109" t="s">
        <v>3688</v>
      </c>
      <c r="G2109" t="s">
        <v>2364</v>
      </c>
      <c r="I2109" t="s">
        <v>1703</v>
      </c>
    </row>
    <row r="2110" spans="1:9" x14ac:dyDescent="0.3">
      <c r="A2110" t="s">
        <v>1820</v>
      </c>
      <c r="C2110" t="s">
        <v>1627</v>
      </c>
      <c r="E2110" t="s">
        <v>2693</v>
      </c>
      <c r="G2110" t="s">
        <v>2365</v>
      </c>
      <c r="I2110" t="s">
        <v>1704</v>
      </c>
    </row>
    <row r="2111" spans="1:9" x14ac:dyDescent="0.3">
      <c r="A2111" t="s">
        <v>1821</v>
      </c>
      <c r="C2111" t="s">
        <v>1628</v>
      </c>
      <c r="E2111" t="s">
        <v>2694</v>
      </c>
      <c r="G2111" t="s">
        <v>2366</v>
      </c>
      <c r="I2111" t="s">
        <v>1705</v>
      </c>
    </row>
    <row r="2112" spans="1:9" x14ac:dyDescent="0.3">
      <c r="A2112" t="s">
        <v>1822</v>
      </c>
      <c r="C2112" t="s">
        <v>1629</v>
      </c>
      <c r="E2112" t="s">
        <v>2695</v>
      </c>
      <c r="G2112" t="s">
        <v>2367</v>
      </c>
      <c r="I2112" t="s">
        <v>1706</v>
      </c>
    </row>
    <row r="2113" spans="1:9" x14ac:dyDescent="0.3">
      <c r="A2113" t="s">
        <v>1823</v>
      </c>
      <c r="C2113" t="s">
        <v>1630</v>
      </c>
      <c r="E2113" t="s">
        <v>2696</v>
      </c>
      <c r="G2113" t="s">
        <v>2368</v>
      </c>
      <c r="I2113" t="s">
        <v>1707</v>
      </c>
    </row>
    <row r="2114" spans="1:9" x14ac:dyDescent="0.3">
      <c r="C2114" t="s">
        <v>1631</v>
      </c>
      <c r="E2114" t="s">
        <v>2697</v>
      </c>
      <c r="G2114" t="s">
        <v>2369</v>
      </c>
    </row>
    <row r="2115" spans="1:9" x14ac:dyDescent="0.3">
      <c r="C2115" t="s">
        <v>1632</v>
      </c>
      <c r="E2115" t="s">
        <v>3689</v>
      </c>
      <c r="G2115" t="s">
        <v>2360</v>
      </c>
    </row>
    <row r="2116" spans="1:9" x14ac:dyDescent="0.3">
      <c r="A2116" t="s">
        <v>1824</v>
      </c>
      <c r="C2116" t="s">
        <v>1633</v>
      </c>
      <c r="E2116" t="s">
        <v>2701</v>
      </c>
      <c r="I2116" t="s">
        <v>1708</v>
      </c>
    </row>
    <row r="2117" spans="1:9" x14ac:dyDescent="0.3">
      <c r="A2117" t="s">
        <v>1554</v>
      </c>
      <c r="C2117" t="s">
        <v>1634</v>
      </c>
      <c r="E2117" t="s">
        <v>2702</v>
      </c>
      <c r="I2117" t="s">
        <v>1554</v>
      </c>
    </row>
    <row r="2118" spans="1:9" x14ac:dyDescent="0.3">
      <c r="C2118" t="s">
        <v>1635</v>
      </c>
      <c r="E2118" t="s">
        <v>2703</v>
      </c>
      <c r="G2118" t="s">
        <v>1179</v>
      </c>
    </row>
    <row r="2119" spans="1:9" x14ac:dyDescent="0.3">
      <c r="A2119" t="s">
        <v>1821</v>
      </c>
      <c r="C2119" t="s">
        <v>3416</v>
      </c>
      <c r="E2119" t="s">
        <v>3690</v>
      </c>
      <c r="G2119" t="s">
        <v>1911</v>
      </c>
      <c r="I2119" t="s">
        <v>3227</v>
      </c>
    </row>
    <row r="2120" spans="1:9" x14ac:dyDescent="0.3">
      <c r="A2120" t="s">
        <v>1822</v>
      </c>
      <c r="C2120" t="s">
        <v>1638</v>
      </c>
      <c r="E2120" t="s">
        <v>3691</v>
      </c>
    </row>
    <row r="2121" spans="1:9" x14ac:dyDescent="0.3">
      <c r="A2121" t="s">
        <v>1825</v>
      </c>
      <c r="C2121" t="s">
        <v>1639</v>
      </c>
      <c r="E2121" t="s">
        <v>2709</v>
      </c>
      <c r="G2121" t="s">
        <v>3191</v>
      </c>
      <c r="I2121" t="s">
        <v>1702</v>
      </c>
    </row>
    <row r="2122" spans="1:9" x14ac:dyDescent="0.3">
      <c r="A2122" t="s">
        <v>1826</v>
      </c>
      <c r="C2122" t="s">
        <v>1640</v>
      </c>
      <c r="E2122" t="s">
        <v>2710</v>
      </c>
      <c r="I2122" t="s">
        <v>1703</v>
      </c>
    </row>
    <row r="2123" spans="1:9" x14ac:dyDescent="0.3">
      <c r="A2123" t="s">
        <v>1827</v>
      </c>
      <c r="C2123" t="s">
        <v>1641</v>
      </c>
      <c r="E2123" t="s">
        <v>2711</v>
      </c>
      <c r="G2123" t="s">
        <v>2364</v>
      </c>
      <c r="I2123" t="s">
        <v>1704</v>
      </c>
    </row>
    <row r="2124" spans="1:9" x14ac:dyDescent="0.3">
      <c r="A2124" t="s">
        <v>1828</v>
      </c>
      <c r="C2124" t="s">
        <v>3417</v>
      </c>
      <c r="E2124" t="s">
        <v>3692</v>
      </c>
      <c r="G2124" t="s">
        <v>2365</v>
      </c>
      <c r="I2124" t="s">
        <v>1705</v>
      </c>
    </row>
    <row r="2125" spans="1:9" x14ac:dyDescent="0.3">
      <c r="A2125" t="s">
        <v>1829</v>
      </c>
      <c r="E2125" t="s">
        <v>2714</v>
      </c>
      <c r="G2125" t="s">
        <v>2366</v>
      </c>
      <c r="I2125" t="s">
        <v>1706</v>
      </c>
    </row>
    <row r="2126" spans="1:9" x14ac:dyDescent="0.3">
      <c r="A2126" t="s">
        <v>1830</v>
      </c>
      <c r="E2126" t="s">
        <v>3693</v>
      </c>
      <c r="G2126" t="s">
        <v>2367</v>
      </c>
      <c r="I2126" t="s">
        <v>1709</v>
      </c>
    </row>
    <row r="2127" spans="1:9" x14ac:dyDescent="0.3">
      <c r="A2127" t="s">
        <v>89</v>
      </c>
      <c r="C2127" t="s">
        <v>1530</v>
      </c>
      <c r="G2127" t="s">
        <v>2368</v>
      </c>
      <c r="I2127" t="s">
        <v>1710</v>
      </c>
    </row>
    <row r="2128" spans="1:9" x14ac:dyDescent="0.3">
      <c r="A2128" t="s">
        <v>1831</v>
      </c>
      <c r="C2128" t="s">
        <v>1554</v>
      </c>
      <c r="G2128" t="s">
        <v>2369</v>
      </c>
    </row>
    <row r="2129" spans="1:9" x14ac:dyDescent="0.3">
      <c r="A2129" t="s">
        <v>1832</v>
      </c>
      <c r="E2129" t="s">
        <v>1577</v>
      </c>
      <c r="G2129" t="s">
        <v>2360</v>
      </c>
    </row>
    <row r="2130" spans="1:9" x14ac:dyDescent="0.3">
      <c r="A2130" t="s">
        <v>1833</v>
      </c>
      <c r="C2130" t="s">
        <v>3204</v>
      </c>
      <c r="E2130" t="s">
        <v>1911</v>
      </c>
      <c r="G2130" t="s">
        <v>2370</v>
      </c>
      <c r="I2130" t="s">
        <v>1711</v>
      </c>
    </row>
    <row r="2131" spans="1:9" x14ac:dyDescent="0.3">
      <c r="A2131" t="s">
        <v>1834</v>
      </c>
      <c r="G2131" t="s">
        <v>2371</v>
      </c>
      <c r="I2131" t="s">
        <v>1554</v>
      </c>
    </row>
    <row r="2132" spans="1:9" x14ac:dyDescent="0.3">
      <c r="A2132" t="s">
        <v>1835</v>
      </c>
      <c r="C2132" t="s">
        <v>3416</v>
      </c>
      <c r="E2132" t="s">
        <v>3218</v>
      </c>
      <c r="G2132">
        <v>9</v>
      </c>
    </row>
    <row r="2133" spans="1:9" x14ac:dyDescent="0.3">
      <c r="A2133" t="s">
        <v>1836</v>
      </c>
      <c r="C2133" t="s">
        <v>1638</v>
      </c>
      <c r="G2133" t="s">
        <v>89</v>
      </c>
      <c r="I2133" t="s">
        <v>3228</v>
      </c>
    </row>
    <row r="2134" spans="1:9" x14ac:dyDescent="0.3">
      <c r="A2134" t="s">
        <v>1837</v>
      </c>
      <c r="C2134" t="s">
        <v>1639</v>
      </c>
      <c r="E2134" t="s">
        <v>3694</v>
      </c>
      <c r="G2134" t="s">
        <v>2372</v>
      </c>
    </row>
    <row r="2135" spans="1:9" x14ac:dyDescent="0.3">
      <c r="A2135" t="s">
        <v>1838</v>
      </c>
      <c r="C2135" t="s">
        <v>1640</v>
      </c>
      <c r="E2135" t="s">
        <v>2716</v>
      </c>
      <c r="G2135" t="s">
        <v>2374</v>
      </c>
      <c r="I2135" t="s">
        <v>1712</v>
      </c>
    </row>
    <row r="2136" spans="1:9" x14ac:dyDescent="0.3">
      <c r="A2136" t="s">
        <v>1839</v>
      </c>
      <c r="C2136" t="s">
        <v>1641</v>
      </c>
      <c r="E2136" t="s">
        <v>2717</v>
      </c>
      <c r="G2136" t="s">
        <v>2375</v>
      </c>
      <c r="I2136" t="s">
        <v>1713</v>
      </c>
    </row>
    <row r="2137" spans="1:9" x14ac:dyDescent="0.3">
      <c r="A2137" t="s">
        <v>1840</v>
      </c>
      <c r="C2137" t="s">
        <v>1642</v>
      </c>
      <c r="E2137" t="s">
        <v>2718</v>
      </c>
      <c r="G2137" t="s">
        <v>2376</v>
      </c>
      <c r="I2137" t="s">
        <v>89</v>
      </c>
    </row>
    <row r="2138" spans="1:9" x14ac:dyDescent="0.3">
      <c r="C2138" t="s">
        <v>1643</v>
      </c>
      <c r="E2138" t="e">
        <f>- il numero dei liquidatori e le regole di funzionamento del</f>
        <v>#NAME?</v>
      </c>
      <c r="G2138" t="s">
        <v>2377</v>
      </c>
      <c r="I2138" t="s">
        <v>1714</v>
      </c>
    </row>
    <row r="2139" spans="1:9" x14ac:dyDescent="0.3">
      <c r="C2139" t="s">
        <v>1644</v>
      </c>
      <c r="E2139" t="s">
        <v>2719</v>
      </c>
      <c r="G2139" t="s">
        <v>2378</v>
      </c>
      <c r="I2139" t="s">
        <v>1715</v>
      </c>
    </row>
    <row r="2140" spans="1:9" x14ac:dyDescent="0.3">
      <c r="A2140" t="s">
        <v>1841</v>
      </c>
      <c r="C2140" t="s">
        <v>1645</v>
      </c>
      <c r="E2140" t="s">
        <v>2720</v>
      </c>
      <c r="G2140" t="s">
        <v>2379</v>
      </c>
      <c r="I2140" t="s">
        <v>1716</v>
      </c>
    </row>
    <row r="2141" spans="1:9" x14ac:dyDescent="0.3">
      <c r="A2141" t="s">
        <v>1554</v>
      </c>
      <c r="C2141" t="s">
        <v>1646</v>
      </c>
      <c r="E2141" t="s">
        <v>2721</v>
      </c>
      <c r="G2141" t="s">
        <v>2380</v>
      </c>
      <c r="I2141" t="s">
        <v>1717</v>
      </c>
    </row>
    <row r="2142" spans="1:9" x14ac:dyDescent="0.3">
      <c r="C2142" t="s">
        <v>1647</v>
      </c>
      <c r="E2142" t="s">
        <v>2722</v>
      </c>
      <c r="G2142" t="s">
        <v>2381</v>
      </c>
      <c r="I2142" t="s">
        <v>1718</v>
      </c>
    </row>
    <row r="2143" spans="1:9" x14ac:dyDescent="0.3">
      <c r="A2143" t="s">
        <v>1836</v>
      </c>
      <c r="C2143" t="s">
        <v>1648</v>
      </c>
      <c r="E2143" t="e">
        <f>- i poteri dei liquidatori. in mancanza di alcuna disposizione in ordine ai poteri dei</f>
        <v>#NAME?</v>
      </c>
      <c r="G2143" t="s">
        <v>2382</v>
      </c>
      <c r="I2143" t="s">
        <v>1719</v>
      </c>
    </row>
    <row r="2144" spans="1:9" x14ac:dyDescent="0.3">
      <c r="A2144" t="s">
        <v>1837</v>
      </c>
      <c r="C2144" t="s">
        <v>1649</v>
      </c>
      <c r="E2144" t="s">
        <v>3695</v>
      </c>
      <c r="G2144" t="s">
        <v>2383</v>
      </c>
      <c r="I2144" t="s">
        <v>1720</v>
      </c>
    </row>
    <row r="2145" spans="1:9" x14ac:dyDescent="0.3">
      <c r="A2145" t="s">
        <v>1838</v>
      </c>
      <c r="C2145" t="s">
        <v>1650</v>
      </c>
      <c r="E2145" t="s">
        <v>2727</v>
      </c>
      <c r="G2145" t="s">
        <v>2384</v>
      </c>
      <c r="I2145" t="s">
        <v>1721</v>
      </c>
    </row>
    <row r="2146" spans="1:9" x14ac:dyDescent="0.3">
      <c r="A2146" t="s">
        <v>1839</v>
      </c>
      <c r="C2146" t="s">
        <v>1651</v>
      </c>
      <c r="E2146" t="s">
        <v>2728</v>
      </c>
      <c r="G2146" t="s">
        <v>2385</v>
      </c>
      <c r="I2146" t="s">
        <v>1722</v>
      </c>
    </row>
    <row r="2147" spans="1:9" x14ac:dyDescent="0.3">
      <c r="A2147" t="s">
        <v>1840</v>
      </c>
      <c r="C2147" t="s">
        <v>1652</v>
      </c>
      <c r="E2147" t="s">
        <v>3696</v>
      </c>
      <c r="G2147" t="s">
        <v>2386</v>
      </c>
      <c r="I2147" t="s">
        <v>1723</v>
      </c>
    </row>
    <row r="2148" spans="1:9" x14ac:dyDescent="0.3">
      <c r="A2148" t="s">
        <v>1842</v>
      </c>
      <c r="C2148" t="s">
        <v>1653</v>
      </c>
      <c r="E2148" t="s">
        <v>2732</v>
      </c>
      <c r="G2148" t="s">
        <v>2387</v>
      </c>
      <c r="I2148" t="s">
        <v>1724</v>
      </c>
    </row>
    <row r="2149" spans="1:9" x14ac:dyDescent="0.3">
      <c r="A2149" t="s">
        <v>1843</v>
      </c>
      <c r="C2149" t="s">
        <v>1654</v>
      </c>
      <c r="E2149" t="s">
        <v>2733</v>
      </c>
      <c r="G2149" t="s">
        <v>2388</v>
      </c>
      <c r="I2149" t="s">
        <v>1725</v>
      </c>
    </row>
    <row r="2150" spans="1:9" x14ac:dyDescent="0.3">
      <c r="A2150" t="s">
        <v>1844</v>
      </c>
      <c r="C2150" t="s">
        <v>1655</v>
      </c>
      <c r="E2150" t="s">
        <v>2734</v>
      </c>
      <c r="G2150" t="s">
        <v>2389</v>
      </c>
      <c r="I2150" t="s">
        <v>1726</v>
      </c>
    </row>
    <row r="2151" spans="1:9" x14ac:dyDescent="0.3">
      <c r="A2151" t="s">
        <v>1845</v>
      </c>
      <c r="C2151" t="s">
        <v>1656</v>
      </c>
      <c r="E2151" t="s">
        <v>2735</v>
      </c>
      <c r="G2151" t="s">
        <v>3445</v>
      </c>
      <c r="I2151" t="s">
        <v>1727</v>
      </c>
    </row>
    <row r="2152" spans="1:9" x14ac:dyDescent="0.3">
      <c r="A2152" t="s">
        <v>1846</v>
      </c>
      <c r="C2152" t="s">
        <v>1657</v>
      </c>
      <c r="E2152" t="s">
        <v>3697</v>
      </c>
      <c r="G2152" t="s">
        <v>2392</v>
      </c>
      <c r="I2152" t="s">
        <v>1728</v>
      </c>
    </row>
    <row r="2153" spans="1:9" x14ac:dyDescent="0.3">
      <c r="A2153" t="s">
        <v>1847</v>
      </c>
      <c r="C2153" t="s">
        <v>1658</v>
      </c>
      <c r="E2153">
        <v>16</v>
      </c>
      <c r="G2153" t="s">
        <v>2393</v>
      </c>
      <c r="I2153" t="s">
        <v>1729</v>
      </c>
    </row>
    <row r="2154" spans="1:9" x14ac:dyDescent="0.3">
      <c r="A2154" t="s">
        <v>1848</v>
      </c>
      <c r="E2154" t="s">
        <v>89</v>
      </c>
      <c r="G2154" t="s">
        <v>2394</v>
      </c>
      <c r="I2154" t="s">
        <v>1730</v>
      </c>
    </row>
    <row r="2155" spans="1:9" x14ac:dyDescent="0.3">
      <c r="A2155" t="s">
        <v>1849</v>
      </c>
      <c r="E2155" t="s">
        <v>2738</v>
      </c>
      <c r="G2155" t="s">
        <v>2395</v>
      </c>
      <c r="I2155" t="s">
        <v>1731</v>
      </c>
    </row>
    <row r="2156" spans="1:9" x14ac:dyDescent="0.3">
      <c r="A2156" t="s">
        <v>1850</v>
      </c>
      <c r="C2156" t="s">
        <v>1532</v>
      </c>
      <c r="E2156" t="s">
        <v>2739</v>
      </c>
      <c r="G2156" t="s">
        <v>2396</v>
      </c>
      <c r="I2156" t="s">
        <v>1732</v>
      </c>
    </row>
    <row r="2157" spans="1:9" x14ac:dyDescent="0.3">
      <c r="A2157" t="s">
        <v>1851</v>
      </c>
      <c r="C2157" t="s">
        <v>1554</v>
      </c>
      <c r="E2157" t="s">
        <v>2740</v>
      </c>
      <c r="G2157" t="s">
        <v>2397</v>
      </c>
    </row>
    <row r="2158" spans="1:9" x14ac:dyDescent="0.3">
      <c r="A2158" t="s">
        <v>1852</v>
      </c>
      <c r="E2158" t="s">
        <v>2741</v>
      </c>
      <c r="G2158" t="s">
        <v>2398</v>
      </c>
    </row>
    <row r="2159" spans="1:9" x14ac:dyDescent="0.3">
      <c r="A2159" t="s">
        <v>1853</v>
      </c>
      <c r="C2159" t="s">
        <v>3205</v>
      </c>
      <c r="E2159" t="s">
        <v>2742</v>
      </c>
      <c r="G2159" t="s">
        <v>2399</v>
      </c>
      <c r="I2159" t="s">
        <v>1733</v>
      </c>
    </row>
    <row r="2160" spans="1:9" x14ac:dyDescent="0.3">
      <c r="A2160" t="s">
        <v>1854</v>
      </c>
      <c r="I2160" t="s">
        <v>1554</v>
      </c>
    </row>
    <row r="2161" spans="1:9" x14ac:dyDescent="0.3">
      <c r="A2161" t="s">
        <v>1855</v>
      </c>
      <c r="C2161" t="s">
        <v>1654</v>
      </c>
    </row>
    <row r="2162" spans="1:9" x14ac:dyDescent="0.3">
      <c r="A2162" t="s">
        <v>1856</v>
      </c>
      <c r="C2162" t="s">
        <v>1655</v>
      </c>
      <c r="E2162" t="s">
        <v>1593</v>
      </c>
      <c r="G2162" t="s">
        <v>1203</v>
      </c>
      <c r="I2162" t="s">
        <v>3229</v>
      </c>
    </row>
    <row r="2163" spans="1:9" x14ac:dyDescent="0.3">
      <c r="A2163" t="s">
        <v>1857</v>
      </c>
      <c r="C2163" t="s">
        <v>1656</v>
      </c>
      <c r="E2163" t="s">
        <v>1911</v>
      </c>
      <c r="G2163" t="s">
        <v>1911</v>
      </c>
    </row>
    <row r="2164" spans="1:9" x14ac:dyDescent="0.3">
      <c r="A2164" t="s">
        <v>1858</v>
      </c>
      <c r="C2164" t="s">
        <v>1657</v>
      </c>
      <c r="I2164" t="s">
        <v>1727</v>
      </c>
    </row>
    <row r="2165" spans="1:9" x14ac:dyDescent="0.3">
      <c r="A2165" t="s">
        <v>1859</v>
      </c>
      <c r="C2165" t="s">
        <v>1658</v>
      </c>
      <c r="E2165" t="s">
        <v>3219</v>
      </c>
      <c r="G2165" t="s">
        <v>3192</v>
      </c>
      <c r="I2165" t="s">
        <v>1728</v>
      </c>
    </row>
    <row r="2166" spans="1:9" x14ac:dyDescent="0.3">
      <c r="C2166" t="s">
        <v>1661</v>
      </c>
      <c r="I2166" t="s">
        <v>1729</v>
      </c>
    </row>
    <row r="2167" spans="1:9" x14ac:dyDescent="0.3">
      <c r="C2167" t="s">
        <v>1662</v>
      </c>
      <c r="E2167" t="s">
        <v>2743</v>
      </c>
      <c r="G2167" t="s">
        <v>2394</v>
      </c>
      <c r="I2167" t="s">
        <v>1730</v>
      </c>
    </row>
    <row r="2168" spans="1:9" x14ac:dyDescent="0.3">
      <c r="A2168" t="s">
        <v>1860</v>
      </c>
      <c r="C2168" t="s">
        <v>1663</v>
      </c>
      <c r="E2168" t="s">
        <v>2744</v>
      </c>
      <c r="G2168" t="s">
        <v>2395</v>
      </c>
      <c r="I2168" t="s">
        <v>1731</v>
      </c>
    </row>
    <row r="2169" spans="1:9" x14ac:dyDescent="0.3">
      <c r="A2169" t="s">
        <v>1554</v>
      </c>
      <c r="C2169" t="s">
        <v>1664</v>
      </c>
      <c r="E2169" t="s">
        <v>2745</v>
      </c>
      <c r="G2169" t="s">
        <v>2396</v>
      </c>
      <c r="I2169" t="s">
        <v>1734</v>
      </c>
    </row>
    <row r="2170" spans="1:9" x14ac:dyDescent="0.3">
      <c r="C2170" t="s">
        <v>1665</v>
      </c>
      <c r="E2170" t="s">
        <v>2746</v>
      </c>
      <c r="G2170" t="s">
        <v>2397</v>
      </c>
      <c r="I2170" t="s">
        <v>1735</v>
      </c>
    </row>
    <row r="2171" spans="1:9" x14ac:dyDescent="0.3">
      <c r="A2171" t="s">
        <v>1853</v>
      </c>
      <c r="C2171" t="s">
        <v>89</v>
      </c>
      <c r="E2171" t="s">
        <v>2747</v>
      </c>
      <c r="G2171" t="s">
        <v>2398</v>
      </c>
      <c r="I2171" t="s">
        <v>491</v>
      </c>
    </row>
    <row r="2172" spans="1:9" x14ac:dyDescent="0.3">
      <c r="A2172" t="s">
        <v>1854</v>
      </c>
      <c r="C2172" t="s">
        <v>1666</v>
      </c>
      <c r="E2172" t="s">
        <v>2748</v>
      </c>
      <c r="G2172" t="s">
        <v>2399</v>
      </c>
      <c r="I2172" t="s">
        <v>1736</v>
      </c>
    </row>
    <row r="2173" spans="1:9" x14ac:dyDescent="0.3">
      <c r="A2173" t="s">
        <v>1855</v>
      </c>
      <c r="C2173" t="s">
        <v>1667</v>
      </c>
      <c r="E2173" t="s">
        <v>2749</v>
      </c>
      <c r="G2173" t="s">
        <v>2400</v>
      </c>
      <c r="I2173" t="s">
        <v>1737</v>
      </c>
    </row>
    <row r="2174" spans="1:9" x14ac:dyDescent="0.3">
      <c r="A2174" t="s">
        <v>1856</v>
      </c>
      <c r="C2174" t="s">
        <v>1668</v>
      </c>
      <c r="E2174" t="s">
        <v>2750</v>
      </c>
      <c r="G2174" t="s">
        <v>2401</v>
      </c>
      <c r="I2174" t="s">
        <v>1738</v>
      </c>
    </row>
    <row r="2175" spans="1:9" x14ac:dyDescent="0.3">
      <c r="A2175" t="s">
        <v>1857</v>
      </c>
      <c r="C2175" t="s">
        <v>1669</v>
      </c>
      <c r="E2175" t="s">
        <v>2751</v>
      </c>
      <c r="G2175" t="s">
        <v>2402</v>
      </c>
      <c r="I2175" t="s">
        <v>1739</v>
      </c>
    </row>
    <row r="2176" spans="1:9" x14ac:dyDescent="0.3">
      <c r="A2176" t="s">
        <v>1858</v>
      </c>
      <c r="C2176" t="s">
        <v>1670</v>
      </c>
      <c r="E2176" t="s">
        <v>2752</v>
      </c>
      <c r="G2176" t="s">
        <v>2403</v>
      </c>
      <c r="I2176" t="s">
        <v>1740</v>
      </c>
    </row>
    <row r="2177" spans="1:9" x14ac:dyDescent="0.3">
      <c r="A2177" t="s">
        <v>1861</v>
      </c>
      <c r="C2177" t="s">
        <v>1671</v>
      </c>
      <c r="E2177" t="s">
        <v>2753</v>
      </c>
      <c r="G2177" t="s">
        <v>2404</v>
      </c>
      <c r="I2177" t="s">
        <v>1741</v>
      </c>
    </row>
    <row r="2178" spans="1:9" x14ac:dyDescent="0.3">
      <c r="A2178" t="s">
        <v>1862</v>
      </c>
      <c r="C2178" t="s">
        <v>1672</v>
      </c>
      <c r="E2178" t="s">
        <v>2754</v>
      </c>
      <c r="G2178" t="s">
        <v>2405</v>
      </c>
      <c r="I2178" t="s">
        <v>1742</v>
      </c>
    </row>
    <row r="2179" spans="1:9" x14ac:dyDescent="0.3">
      <c r="A2179" t="s">
        <v>1863</v>
      </c>
      <c r="E2179" t="s">
        <v>2755</v>
      </c>
      <c r="G2179" t="s">
        <v>2406</v>
      </c>
      <c r="I2179" t="s">
        <v>1743</v>
      </c>
    </row>
    <row r="2180" spans="1:9" x14ac:dyDescent="0.3">
      <c r="A2180" t="s">
        <v>1864</v>
      </c>
      <c r="E2180" t="s">
        <v>3698</v>
      </c>
      <c r="G2180" t="s">
        <v>2407</v>
      </c>
      <c r="I2180" t="s">
        <v>1744</v>
      </c>
    </row>
    <row r="2181" spans="1:9" x14ac:dyDescent="0.3">
      <c r="C2181" t="s">
        <v>1534</v>
      </c>
      <c r="E2181" t="s">
        <v>2758</v>
      </c>
      <c r="G2181" t="s">
        <v>2408</v>
      </c>
      <c r="I2181" t="s">
        <v>1745</v>
      </c>
    </row>
    <row r="2182" spans="1:9" x14ac:dyDescent="0.3">
      <c r="C2182" t="s">
        <v>1554</v>
      </c>
      <c r="E2182" t="s">
        <v>2759</v>
      </c>
      <c r="G2182" t="s">
        <v>2409</v>
      </c>
      <c r="I2182" t="s">
        <v>1746</v>
      </c>
    </row>
    <row r="2183" spans="1:9" x14ac:dyDescent="0.3">
      <c r="A2183" t="s">
        <v>1865</v>
      </c>
      <c r="E2183" t="s">
        <v>2760</v>
      </c>
      <c r="G2183" t="s">
        <v>2410</v>
      </c>
      <c r="I2183" t="s">
        <v>616</v>
      </c>
    </row>
    <row r="2184" spans="1:9" x14ac:dyDescent="0.3">
      <c r="A2184" t="s">
        <v>1554</v>
      </c>
      <c r="C2184" t="s">
        <v>3206</v>
      </c>
      <c r="E2184" t="s">
        <v>3699</v>
      </c>
      <c r="G2184" t="s">
        <v>2411</v>
      </c>
      <c r="I2184" t="s">
        <v>1747</v>
      </c>
    </row>
    <row r="2185" spans="1:9" x14ac:dyDescent="0.3">
      <c r="E2185" t="s">
        <v>3700</v>
      </c>
      <c r="G2185" t="s">
        <v>2412</v>
      </c>
      <c r="I2185" t="s">
        <v>1748</v>
      </c>
    </row>
    <row r="2186" spans="1:9" x14ac:dyDescent="0.3">
      <c r="A2186" t="s">
        <v>1866</v>
      </c>
      <c r="C2186" t="s">
        <v>1669</v>
      </c>
      <c r="E2186" t="s">
        <v>2765</v>
      </c>
      <c r="G2186" t="s">
        <v>2413</v>
      </c>
      <c r="I2186" t="s">
        <v>1749</v>
      </c>
    </row>
    <row r="2187" spans="1:9" x14ac:dyDescent="0.3">
      <c r="A2187" t="s">
        <v>1867</v>
      </c>
      <c r="C2187" t="s">
        <v>1670</v>
      </c>
      <c r="E2187" t="s">
        <v>3701</v>
      </c>
      <c r="G2187" t="s">
        <v>2414</v>
      </c>
      <c r="I2187" t="s">
        <v>1750</v>
      </c>
    </row>
    <row r="2188" spans="1:9" x14ac:dyDescent="0.3">
      <c r="A2188" t="s">
        <v>1868</v>
      </c>
      <c r="C2188" t="s">
        <v>1671</v>
      </c>
      <c r="E2188" t="s">
        <v>2769</v>
      </c>
      <c r="G2188" t="s">
        <v>2415</v>
      </c>
    </row>
    <row r="2189" spans="1:9" x14ac:dyDescent="0.3">
      <c r="A2189" t="s">
        <v>1869</v>
      </c>
      <c r="C2189" t="s">
        <v>1672</v>
      </c>
      <c r="E2189" t="s">
        <v>2770</v>
      </c>
      <c r="G2189" t="s">
        <v>2416</v>
      </c>
    </row>
    <row r="2190" spans="1:9" x14ac:dyDescent="0.3">
      <c r="A2190" t="s">
        <v>1870</v>
      </c>
      <c r="C2190" t="s">
        <v>1675</v>
      </c>
      <c r="E2190" t="s">
        <v>2771</v>
      </c>
      <c r="G2190" t="s">
        <v>2417</v>
      </c>
      <c r="I2190" t="s">
        <v>1751</v>
      </c>
    </row>
    <row r="2191" spans="1:9" x14ac:dyDescent="0.3">
      <c r="C2191" t="s">
        <v>1676</v>
      </c>
      <c r="E2191" t="s">
        <v>3702</v>
      </c>
      <c r="G2191" t="s">
        <v>2418</v>
      </c>
      <c r="I2191" t="s">
        <v>1554</v>
      </c>
    </row>
    <row r="2192" spans="1:9" x14ac:dyDescent="0.3">
      <c r="C2192" t="s">
        <v>1677</v>
      </c>
      <c r="G2192" t="s">
        <v>2419</v>
      </c>
    </row>
    <row r="2193" spans="1:9" x14ac:dyDescent="0.3">
      <c r="A2193" t="s">
        <v>1871</v>
      </c>
      <c r="C2193" t="s">
        <v>1678</v>
      </c>
      <c r="G2193" t="s">
        <v>3446</v>
      </c>
      <c r="I2193" t="s">
        <v>3230</v>
      </c>
    </row>
    <row r="2194" spans="1:9" x14ac:dyDescent="0.3">
      <c r="A2194" t="s">
        <v>1554</v>
      </c>
      <c r="C2194" t="s">
        <v>1679</v>
      </c>
      <c r="E2194" t="s">
        <v>1606</v>
      </c>
      <c r="G2194" t="s">
        <v>2422</v>
      </c>
    </row>
    <row r="2195" spans="1:9" x14ac:dyDescent="0.3">
      <c r="C2195" t="s">
        <v>1680</v>
      </c>
      <c r="E2195" t="s">
        <v>1911</v>
      </c>
      <c r="G2195" t="s">
        <v>2423</v>
      </c>
      <c r="I2195" t="s">
        <v>616</v>
      </c>
    </row>
    <row r="2196" spans="1:9" x14ac:dyDescent="0.3">
      <c r="A2196" t="s">
        <v>1872</v>
      </c>
      <c r="C2196" t="s">
        <v>1681</v>
      </c>
      <c r="G2196" t="s">
        <v>2424</v>
      </c>
      <c r="I2196" t="s">
        <v>1747</v>
      </c>
    </row>
    <row r="2197" spans="1:9" x14ac:dyDescent="0.3">
      <c r="A2197" t="s">
        <v>89</v>
      </c>
      <c r="C2197" t="s">
        <v>1682</v>
      </c>
      <c r="E2197" t="s">
        <v>3220</v>
      </c>
      <c r="G2197">
        <v>10</v>
      </c>
      <c r="I2197" t="s">
        <v>1748</v>
      </c>
    </row>
    <row r="2198" spans="1:9" x14ac:dyDescent="0.3">
      <c r="A2198" t="s">
        <v>1873</v>
      </c>
      <c r="C2198" t="s">
        <v>1683</v>
      </c>
      <c r="G2198" t="s">
        <v>89</v>
      </c>
      <c r="I2198" t="s">
        <v>1749</v>
      </c>
    </row>
    <row r="2199" spans="1:9" x14ac:dyDescent="0.3">
      <c r="A2199" t="s">
        <v>1874</v>
      </c>
      <c r="C2199" t="s">
        <v>1684</v>
      </c>
      <c r="E2199" t="s">
        <v>2774</v>
      </c>
      <c r="G2199" t="s">
        <v>2425</v>
      </c>
      <c r="I2199" t="s">
        <v>1750</v>
      </c>
    </row>
    <row r="2200" spans="1:9" x14ac:dyDescent="0.3">
      <c r="A2200" t="s">
        <v>1875</v>
      </c>
      <c r="C2200" t="s">
        <v>1685</v>
      </c>
      <c r="E2200" t="s">
        <v>2775</v>
      </c>
      <c r="G2200" t="s">
        <v>2426</v>
      </c>
      <c r="I2200" t="s">
        <v>1752</v>
      </c>
    </row>
    <row r="2201" spans="1:9" x14ac:dyDescent="0.3">
      <c r="A2201" t="s">
        <v>1876</v>
      </c>
      <c r="C2201" t="s">
        <v>1686</v>
      </c>
      <c r="E2201" t="s">
        <v>2776</v>
      </c>
      <c r="G2201" t="s">
        <v>2427</v>
      </c>
      <c r="I2201" t="s">
        <v>89</v>
      </c>
    </row>
    <row r="2202" spans="1:9" x14ac:dyDescent="0.3">
      <c r="A2202" t="s">
        <v>1877</v>
      </c>
      <c r="C2202" t="s">
        <v>1687</v>
      </c>
      <c r="E2202" t="s">
        <v>3703</v>
      </c>
      <c r="G2202" t="s">
        <v>2428</v>
      </c>
      <c r="I2202" t="s">
        <v>1753</v>
      </c>
    </row>
    <row r="2203" spans="1:9" x14ac:dyDescent="0.3">
      <c r="A2203" t="s">
        <v>1878</v>
      </c>
      <c r="C2203" t="s">
        <v>1688</v>
      </c>
      <c r="E2203">
        <v>17</v>
      </c>
      <c r="I2203" t="s">
        <v>1754</v>
      </c>
    </row>
    <row r="2204" spans="1:9" x14ac:dyDescent="0.3">
      <c r="A2204" t="s">
        <v>1879</v>
      </c>
      <c r="E2204" t="s">
        <v>89</v>
      </c>
      <c r="I2204" t="s">
        <v>1755</v>
      </c>
    </row>
    <row r="2205" spans="1:9" x14ac:dyDescent="0.3">
      <c r="A2205" t="s">
        <v>1880</v>
      </c>
      <c r="E2205" t="s">
        <v>2779</v>
      </c>
      <c r="G2205" t="s">
        <v>1226</v>
      </c>
      <c r="I2205" t="s">
        <v>1756</v>
      </c>
    </row>
    <row r="2206" spans="1:9" x14ac:dyDescent="0.3">
      <c r="C2206" t="s">
        <v>1536</v>
      </c>
      <c r="E2206" t="s">
        <v>2780</v>
      </c>
      <c r="G2206" t="s">
        <v>1911</v>
      </c>
      <c r="I2206" t="s">
        <v>1757</v>
      </c>
    </row>
    <row r="2207" spans="1:9" x14ac:dyDescent="0.3">
      <c r="C2207" t="s">
        <v>1554</v>
      </c>
      <c r="E2207" t="s">
        <v>2781</v>
      </c>
      <c r="I2207" t="s">
        <v>1758</v>
      </c>
    </row>
    <row r="2208" spans="1:9" x14ac:dyDescent="0.3">
      <c r="A2208" t="s">
        <v>1881</v>
      </c>
      <c r="E2208" t="s">
        <v>2782</v>
      </c>
      <c r="G2208" t="s">
        <v>3193</v>
      </c>
      <c r="I2208" t="s">
        <v>1759</v>
      </c>
    </row>
    <row r="2209" spans="1:9" x14ac:dyDescent="0.3">
      <c r="A2209" t="s">
        <v>1554</v>
      </c>
      <c r="C2209" t="s">
        <v>3207</v>
      </c>
      <c r="E2209" t="s">
        <v>2783</v>
      </c>
      <c r="I2209" t="s">
        <v>1760</v>
      </c>
    </row>
    <row r="2210" spans="1:9" x14ac:dyDescent="0.3">
      <c r="G2210" t="s">
        <v>2424</v>
      </c>
      <c r="I2210" t="s">
        <v>1761</v>
      </c>
    </row>
    <row r="2211" spans="1:9" x14ac:dyDescent="0.3">
      <c r="A2211" t="s">
        <v>1882</v>
      </c>
      <c r="C2211" t="s">
        <v>1685</v>
      </c>
      <c r="G2211">
        <v>10</v>
      </c>
      <c r="I2211" t="s">
        <v>1762</v>
      </c>
    </row>
    <row r="2212" spans="1:9" x14ac:dyDescent="0.3">
      <c r="A2212" t="s">
        <v>1883</v>
      </c>
      <c r="C2212" t="s">
        <v>1686</v>
      </c>
      <c r="E2212" t="s">
        <v>1610</v>
      </c>
      <c r="G2212" t="s">
        <v>89</v>
      </c>
      <c r="I2212" t="s">
        <v>1763</v>
      </c>
    </row>
    <row r="2213" spans="1:9" x14ac:dyDescent="0.3">
      <c r="A2213" t="s">
        <v>1884</v>
      </c>
      <c r="C2213" t="s">
        <v>1687</v>
      </c>
      <c r="E2213" t="s">
        <v>1503</v>
      </c>
      <c r="G2213" t="s">
        <v>2425</v>
      </c>
      <c r="I2213" t="s">
        <v>1764</v>
      </c>
    </row>
    <row r="2214" spans="1:9" x14ac:dyDescent="0.3">
      <c r="A2214" t="s">
        <v>1885</v>
      </c>
      <c r="C2214" t="s">
        <v>1688</v>
      </c>
      <c r="G2214" t="s">
        <v>2426</v>
      </c>
      <c r="I2214" t="s">
        <v>1765</v>
      </c>
    </row>
    <row r="2215" spans="1:9" x14ac:dyDescent="0.3">
      <c r="A2215" t="s">
        <v>1886</v>
      </c>
      <c r="C2215" t="s">
        <v>1689</v>
      </c>
      <c r="E2215" t="s">
        <v>3221</v>
      </c>
      <c r="G2215" t="s">
        <v>2427</v>
      </c>
      <c r="I2215" t="s">
        <v>1766</v>
      </c>
    </row>
    <row r="2216" spans="1:9" x14ac:dyDescent="0.3">
      <c r="C2216" t="s">
        <v>1692</v>
      </c>
      <c r="G2216" t="s">
        <v>2428</v>
      </c>
    </row>
    <row r="2217" spans="1:9" x14ac:dyDescent="0.3">
      <c r="C2217" t="s">
        <v>1693</v>
      </c>
      <c r="E2217" t="s">
        <v>734</v>
      </c>
      <c r="G2217" t="s">
        <v>2429</v>
      </c>
    </row>
    <row r="2218" spans="1:9" x14ac:dyDescent="0.3">
      <c r="A2218" t="s">
        <v>1887</v>
      </c>
      <c r="C2218" t="s">
        <v>1694</v>
      </c>
      <c r="E2218" t="s">
        <v>735</v>
      </c>
      <c r="G2218" t="s">
        <v>2430</v>
      </c>
      <c r="I2218" t="s">
        <v>1767</v>
      </c>
    </row>
    <row r="2219" spans="1:9" x14ac:dyDescent="0.3">
      <c r="A2219" t="s">
        <v>1554</v>
      </c>
      <c r="C2219" t="s">
        <v>1695</v>
      </c>
      <c r="E2219" t="s">
        <v>736</v>
      </c>
      <c r="G2219" t="s">
        <v>2431</v>
      </c>
      <c r="I2219" t="s">
        <v>1554</v>
      </c>
    </row>
    <row r="2220" spans="1:9" x14ac:dyDescent="0.3">
      <c r="C2220" t="s">
        <v>1696</v>
      </c>
      <c r="E2220" t="s">
        <v>737</v>
      </c>
      <c r="G2220" t="s">
        <v>2432</v>
      </c>
    </row>
    <row r="2221" spans="1:9" x14ac:dyDescent="0.3">
      <c r="A2221" t="s">
        <v>1888</v>
      </c>
      <c r="C2221" t="s">
        <v>1697</v>
      </c>
      <c r="E2221" t="s">
        <v>738</v>
      </c>
      <c r="G2221" t="s">
        <v>2433</v>
      </c>
      <c r="I2221" t="s">
        <v>3231</v>
      </c>
    </row>
    <row r="2222" spans="1:9" x14ac:dyDescent="0.3">
      <c r="A2222" t="s">
        <v>1889</v>
      </c>
      <c r="C2222" t="s">
        <v>1698</v>
      </c>
      <c r="E2222" t="s">
        <v>739</v>
      </c>
      <c r="G2222" t="s">
        <v>2434</v>
      </c>
    </row>
    <row r="2223" spans="1:9" x14ac:dyDescent="0.3">
      <c r="A2223" t="s">
        <v>1890</v>
      </c>
      <c r="C2223" t="s">
        <v>1699</v>
      </c>
      <c r="E2223" t="s">
        <v>740</v>
      </c>
      <c r="G2223" t="s">
        <v>2435</v>
      </c>
      <c r="I2223" t="s">
        <v>1768</v>
      </c>
    </row>
    <row r="2224" spans="1:9" x14ac:dyDescent="0.3">
      <c r="A2224" t="s">
        <v>1891</v>
      </c>
      <c r="C2224" t="s">
        <v>1700</v>
      </c>
      <c r="E2224" t="s">
        <v>741</v>
      </c>
      <c r="G2224" t="s">
        <v>2436</v>
      </c>
      <c r="I2224" t="s">
        <v>1769</v>
      </c>
    </row>
    <row r="2225" spans="1:9" x14ac:dyDescent="0.3">
      <c r="C2225" t="s">
        <v>1701</v>
      </c>
      <c r="E2225" t="s">
        <v>3704</v>
      </c>
      <c r="G2225" t="s">
        <v>3447</v>
      </c>
      <c r="I2225" t="s">
        <v>1770</v>
      </c>
    </row>
    <row r="2226" spans="1:9" x14ac:dyDescent="0.3">
      <c r="C2226" t="s">
        <v>1702</v>
      </c>
      <c r="E2226" t="s">
        <v>744</v>
      </c>
      <c r="G2226" t="s">
        <v>2439</v>
      </c>
      <c r="I2226" t="s">
        <v>1771</v>
      </c>
    </row>
    <row r="2227" spans="1:9" x14ac:dyDescent="0.3">
      <c r="A2227" t="s">
        <v>1892</v>
      </c>
      <c r="C2227" t="s">
        <v>1703</v>
      </c>
      <c r="E2227" t="s">
        <v>745</v>
      </c>
      <c r="G2227" t="s">
        <v>2440</v>
      </c>
      <c r="I2227" t="s">
        <v>1772</v>
      </c>
    </row>
    <row r="2228" spans="1:9" x14ac:dyDescent="0.3">
      <c r="A2228" t="s">
        <v>1554</v>
      </c>
      <c r="C2228" t="s">
        <v>1704</v>
      </c>
      <c r="E2228" t="s">
        <v>3705</v>
      </c>
      <c r="G2228" t="s">
        <v>2441</v>
      </c>
      <c r="I2228" t="s">
        <v>1773</v>
      </c>
    </row>
    <row r="2229" spans="1:9" x14ac:dyDescent="0.3">
      <c r="E2229" t="s">
        <v>748</v>
      </c>
      <c r="G2229" t="s">
        <v>2442</v>
      </c>
      <c r="I2229" t="s">
        <v>1774</v>
      </c>
    </row>
    <row r="2230" spans="1:9" x14ac:dyDescent="0.3">
      <c r="A2230" t="s">
        <v>1893</v>
      </c>
      <c r="E2230" t="s">
        <v>3706</v>
      </c>
      <c r="G2230" t="s">
        <v>2443</v>
      </c>
      <c r="I2230" t="s">
        <v>1775</v>
      </c>
    </row>
    <row r="2231" spans="1:9" x14ac:dyDescent="0.3">
      <c r="A2231" t="s">
        <v>1894</v>
      </c>
      <c r="C2231" t="s">
        <v>1538</v>
      </c>
      <c r="E2231" t="s">
        <v>751</v>
      </c>
      <c r="G2231" t="s">
        <v>2444</v>
      </c>
      <c r="I2231" t="s">
        <v>1776</v>
      </c>
    </row>
    <row r="2232" spans="1:9" x14ac:dyDescent="0.3">
      <c r="A2232" t="s">
        <v>1895</v>
      </c>
      <c r="C2232" t="s">
        <v>1554</v>
      </c>
      <c r="E2232" t="s">
        <v>752</v>
      </c>
      <c r="G2232" t="s">
        <v>2445</v>
      </c>
      <c r="I2232" t="s">
        <v>1777</v>
      </c>
    </row>
    <row r="2233" spans="1:9" x14ac:dyDescent="0.3">
      <c r="A2233" t="s">
        <v>1896</v>
      </c>
      <c r="E2233" t="s">
        <v>753</v>
      </c>
      <c r="G2233" t="s">
        <v>2446</v>
      </c>
      <c r="I2233" t="s">
        <v>1778</v>
      </c>
    </row>
    <row r="2234" spans="1:9" x14ac:dyDescent="0.3">
      <c r="C2234" t="s">
        <v>3208</v>
      </c>
      <c r="E2234" t="s">
        <v>754</v>
      </c>
      <c r="G2234" t="s">
        <v>2447</v>
      </c>
      <c r="I2234" t="s">
        <v>1779</v>
      </c>
    </row>
    <row r="2235" spans="1:9" x14ac:dyDescent="0.3">
      <c r="E2235" t="s">
        <v>3707</v>
      </c>
      <c r="G2235" t="s">
        <v>647</v>
      </c>
      <c r="I2235" t="s">
        <v>1780</v>
      </c>
    </row>
    <row r="2236" spans="1:9" x14ac:dyDescent="0.3">
      <c r="A2236" t="s">
        <v>1897</v>
      </c>
      <c r="C2236" t="s">
        <v>1701</v>
      </c>
      <c r="E2236" t="s">
        <v>3708</v>
      </c>
      <c r="G2236" t="s">
        <v>2448</v>
      </c>
      <c r="I2236" t="s">
        <v>1781</v>
      </c>
    </row>
    <row r="2237" spans="1:9" x14ac:dyDescent="0.3">
      <c r="A2237" t="s">
        <v>1554</v>
      </c>
      <c r="C2237" t="s">
        <v>1702</v>
      </c>
      <c r="G2237" t="s">
        <v>3448</v>
      </c>
      <c r="I2237" t="s">
        <v>1782</v>
      </c>
    </row>
    <row r="2238" spans="1:9" x14ac:dyDescent="0.3">
      <c r="C2238" t="s">
        <v>1703</v>
      </c>
      <c r="G2238" t="s">
        <v>2451</v>
      </c>
      <c r="I2238" t="s">
        <v>1783</v>
      </c>
    </row>
    <row r="2239" spans="1:9" x14ac:dyDescent="0.3">
      <c r="A2239" t="s">
        <v>1898</v>
      </c>
      <c r="C2239" t="s">
        <v>1704</v>
      </c>
      <c r="E2239" t="s">
        <v>1615</v>
      </c>
      <c r="G2239" t="s">
        <v>2452</v>
      </c>
      <c r="I2239" t="s">
        <v>1784</v>
      </c>
    </row>
    <row r="2240" spans="1:9" x14ac:dyDescent="0.3">
      <c r="A2240" t="s">
        <v>1899</v>
      </c>
      <c r="C2240" t="s">
        <v>1705</v>
      </c>
      <c r="E2240" t="s">
        <v>1503</v>
      </c>
      <c r="G2240" t="s">
        <v>2453</v>
      </c>
      <c r="I2240" t="s">
        <v>1785</v>
      </c>
    </row>
    <row r="2241" spans="1:9" x14ac:dyDescent="0.3">
      <c r="A2241" t="s">
        <v>1900</v>
      </c>
      <c r="C2241" t="s">
        <v>1706</v>
      </c>
      <c r="G2241" t="s">
        <v>2454</v>
      </c>
      <c r="I2241" t="s">
        <v>1786</v>
      </c>
    </row>
    <row r="2242" spans="1:9" x14ac:dyDescent="0.3">
      <c r="A2242" t="s">
        <v>1901</v>
      </c>
      <c r="C2242" t="s">
        <v>1709</v>
      </c>
      <c r="E2242" t="s">
        <v>3222</v>
      </c>
      <c r="G2242" t="s">
        <v>2455</v>
      </c>
      <c r="I2242" t="s">
        <v>1787</v>
      </c>
    </row>
    <row r="2243" spans="1:9" x14ac:dyDescent="0.3">
      <c r="A2243" t="s">
        <v>1902</v>
      </c>
      <c r="C2243" t="s">
        <v>3418</v>
      </c>
      <c r="G2243" t="s">
        <v>2456</v>
      </c>
      <c r="I2243" t="s">
        <v>1788</v>
      </c>
    </row>
    <row r="2244" spans="1:9" x14ac:dyDescent="0.3">
      <c r="A2244" t="s">
        <v>1903</v>
      </c>
      <c r="C2244" t="s">
        <v>1712</v>
      </c>
      <c r="E2244" t="s">
        <v>3709</v>
      </c>
      <c r="G2244" t="s">
        <v>2457</v>
      </c>
      <c r="I2244" t="s">
        <v>1789</v>
      </c>
    </row>
    <row r="2245" spans="1:9" x14ac:dyDescent="0.3">
      <c r="A2245" t="s">
        <v>1904</v>
      </c>
      <c r="C2245" t="s">
        <v>1713</v>
      </c>
      <c r="E2245" t="s">
        <v>758</v>
      </c>
      <c r="G2245" t="s">
        <v>2458</v>
      </c>
      <c r="I2245" t="s">
        <v>725</v>
      </c>
    </row>
    <row r="2246" spans="1:9" x14ac:dyDescent="0.3">
      <c r="A2246" t="s">
        <v>1905</v>
      </c>
      <c r="C2246" t="s">
        <v>89</v>
      </c>
      <c r="E2246" t="s">
        <v>759</v>
      </c>
      <c r="G2246" t="s">
        <v>2459</v>
      </c>
    </row>
    <row r="2247" spans="1:9" x14ac:dyDescent="0.3">
      <c r="A2247" t="s">
        <v>1906</v>
      </c>
      <c r="C2247" t="s">
        <v>1714</v>
      </c>
      <c r="E2247" t="s">
        <v>762</v>
      </c>
    </row>
    <row r="2248" spans="1:9" x14ac:dyDescent="0.3">
      <c r="A2248" t="s">
        <v>1907</v>
      </c>
      <c r="C2248" t="s">
        <v>1715</v>
      </c>
      <c r="E2248" t="s">
        <v>763</v>
      </c>
      <c r="I2248" t="s">
        <v>1790</v>
      </c>
    </row>
    <row r="2249" spans="1:9" x14ac:dyDescent="0.3">
      <c r="A2249" t="s">
        <v>1908</v>
      </c>
      <c r="C2249" t="s">
        <v>1716</v>
      </c>
      <c r="E2249" t="s">
        <v>764</v>
      </c>
      <c r="G2249" t="s">
        <v>1246</v>
      </c>
      <c r="I2249" t="s">
        <v>1554</v>
      </c>
    </row>
    <row r="2250" spans="1:9" x14ac:dyDescent="0.3">
      <c r="A2250" t="s">
        <v>89</v>
      </c>
      <c r="C2250" t="s">
        <v>1717</v>
      </c>
      <c r="E2250" t="s">
        <v>765</v>
      </c>
      <c r="G2250" t="s">
        <v>1911</v>
      </c>
    </row>
    <row r="2251" spans="1:9" x14ac:dyDescent="0.3">
      <c r="A2251" t="s">
        <v>1909</v>
      </c>
      <c r="C2251" t="s">
        <v>1718</v>
      </c>
      <c r="E2251" t="s">
        <v>766</v>
      </c>
      <c r="I2251" t="s">
        <v>3232</v>
      </c>
    </row>
    <row r="2252" spans="1:9" x14ac:dyDescent="0.3">
      <c r="C2252" t="s">
        <v>1719</v>
      </c>
      <c r="E2252" t="s">
        <v>3710</v>
      </c>
      <c r="G2252" t="s">
        <v>3194</v>
      </c>
    </row>
    <row r="2253" spans="1:9" x14ac:dyDescent="0.3">
      <c r="C2253" t="s">
        <v>1720</v>
      </c>
      <c r="E2253" t="s">
        <v>3711</v>
      </c>
      <c r="I2253" t="s">
        <v>1786</v>
      </c>
    </row>
    <row r="2254" spans="1:9" x14ac:dyDescent="0.3">
      <c r="A2254" t="s">
        <v>1910</v>
      </c>
      <c r="C2254" t="s">
        <v>1721</v>
      </c>
      <c r="E2254" t="s">
        <v>770</v>
      </c>
      <c r="G2254" t="s">
        <v>2454</v>
      </c>
      <c r="I2254" t="s">
        <v>1787</v>
      </c>
    </row>
    <row r="2255" spans="1:9" x14ac:dyDescent="0.3">
      <c r="A2255" t="s">
        <v>1911</v>
      </c>
      <c r="C2255" t="s">
        <v>1722</v>
      </c>
      <c r="E2255" t="s">
        <v>771</v>
      </c>
      <c r="G2255" t="s">
        <v>2455</v>
      </c>
      <c r="I2255" t="s">
        <v>1788</v>
      </c>
    </row>
    <row r="2256" spans="1:9" x14ac:dyDescent="0.3">
      <c r="C2256" t="s">
        <v>1723</v>
      </c>
      <c r="E2256" t="s">
        <v>772</v>
      </c>
      <c r="G2256" t="s">
        <v>2456</v>
      </c>
      <c r="I2256" t="s">
        <v>1789</v>
      </c>
    </row>
    <row r="2257" spans="1:9" x14ac:dyDescent="0.3">
      <c r="A2257" t="s">
        <v>1912</v>
      </c>
      <c r="E2257" t="s">
        <v>773</v>
      </c>
      <c r="G2257" t="s">
        <v>2457</v>
      </c>
      <c r="I2257" t="s">
        <v>89</v>
      </c>
    </row>
    <row r="2258" spans="1:9" x14ac:dyDescent="0.3">
      <c r="A2258" t="s">
        <v>1913</v>
      </c>
      <c r="E2258" t="s">
        <v>774</v>
      </c>
      <c r="G2258" t="s">
        <v>2458</v>
      </c>
      <c r="I2258" t="s">
        <v>1791</v>
      </c>
    </row>
    <row r="2259" spans="1:9" ht="28.8" x14ac:dyDescent="0.3">
      <c r="A2259" s="9" t="s">
        <v>1914</v>
      </c>
      <c r="C2259" t="s">
        <v>1540</v>
      </c>
      <c r="E2259" t="s">
        <v>3712</v>
      </c>
      <c r="G2259" t="s">
        <v>2459</v>
      </c>
      <c r="I2259" t="s">
        <v>1792</v>
      </c>
    </row>
    <row r="2260" spans="1:9" x14ac:dyDescent="0.3">
      <c r="A2260" t="s">
        <v>1915</v>
      </c>
      <c r="C2260" t="s">
        <v>1554</v>
      </c>
      <c r="E2260" t="s">
        <v>3713</v>
      </c>
      <c r="G2260" t="s">
        <v>2460</v>
      </c>
      <c r="I2260" t="s">
        <v>1793</v>
      </c>
    </row>
    <row r="2261" spans="1:9" x14ac:dyDescent="0.3">
      <c r="G2261" t="s">
        <v>2461</v>
      </c>
      <c r="I2261" t="s">
        <v>1794</v>
      </c>
    </row>
    <row r="2262" spans="1:9" x14ac:dyDescent="0.3">
      <c r="C2262" t="s">
        <v>3209</v>
      </c>
      <c r="G2262" t="s">
        <v>2462</v>
      </c>
      <c r="I2262" t="s">
        <v>1795</v>
      </c>
    </row>
    <row r="2263" spans="1:9" x14ac:dyDescent="0.3">
      <c r="A2263" t="s">
        <v>1916</v>
      </c>
      <c r="E2263" t="s">
        <v>1637</v>
      </c>
      <c r="G2263" t="s">
        <v>2463</v>
      </c>
      <c r="I2263" t="s">
        <v>1796</v>
      </c>
    </row>
    <row r="2264" spans="1:9" x14ac:dyDescent="0.3">
      <c r="A2264" t="s">
        <v>1911</v>
      </c>
      <c r="C2264" t="s">
        <v>1720</v>
      </c>
      <c r="E2264" t="s">
        <v>1503</v>
      </c>
      <c r="G2264" t="s">
        <v>2464</v>
      </c>
      <c r="I2264" t="s">
        <v>1797</v>
      </c>
    </row>
    <row r="2265" spans="1:9" x14ac:dyDescent="0.3">
      <c r="C2265" t="s">
        <v>1721</v>
      </c>
      <c r="G2265" t="s">
        <v>2465</v>
      </c>
      <c r="I2265" t="s">
        <v>1798</v>
      </c>
    </row>
    <row r="2266" spans="1:9" x14ac:dyDescent="0.3">
      <c r="A2266" t="s">
        <v>1917</v>
      </c>
      <c r="C2266" t="s">
        <v>1722</v>
      </c>
      <c r="E2266" t="s">
        <v>3223</v>
      </c>
      <c r="G2266" t="s">
        <v>2466</v>
      </c>
      <c r="I2266" t="s">
        <v>1799</v>
      </c>
    </row>
    <row r="2267" spans="1:9" x14ac:dyDescent="0.3">
      <c r="A2267" t="s">
        <v>1918</v>
      </c>
      <c r="C2267" t="s">
        <v>1723</v>
      </c>
      <c r="G2267" t="s">
        <v>2467</v>
      </c>
      <c r="I2267" t="s">
        <v>1800</v>
      </c>
    </row>
    <row r="2268" spans="1:9" x14ac:dyDescent="0.3">
      <c r="A2268" t="s">
        <v>1919</v>
      </c>
      <c r="C2268" t="s">
        <v>1724</v>
      </c>
      <c r="E2268" t="s">
        <v>778</v>
      </c>
      <c r="G2268" t="s">
        <v>2468</v>
      </c>
      <c r="I2268" t="s">
        <v>1801</v>
      </c>
    </row>
    <row r="2269" spans="1:9" x14ac:dyDescent="0.3">
      <c r="A2269" t="s">
        <v>1920</v>
      </c>
      <c r="C2269" t="s">
        <v>1725</v>
      </c>
      <c r="E2269" t="s">
        <v>781</v>
      </c>
      <c r="G2269" t="s">
        <v>2469</v>
      </c>
      <c r="I2269" t="s">
        <v>1802</v>
      </c>
    </row>
    <row r="2270" spans="1:9" x14ac:dyDescent="0.3">
      <c r="A2270" t="s">
        <v>1921</v>
      </c>
      <c r="C2270" t="s">
        <v>1726</v>
      </c>
      <c r="E2270" t="s">
        <v>782</v>
      </c>
      <c r="G2270" t="s">
        <v>2470</v>
      </c>
      <c r="I2270" t="s">
        <v>1803</v>
      </c>
    </row>
    <row r="2271" spans="1:9" x14ac:dyDescent="0.3">
      <c r="C2271" t="s">
        <v>1727</v>
      </c>
      <c r="E2271" t="s">
        <v>783</v>
      </c>
      <c r="G2271" t="s">
        <v>2471</v>
      </c>
      <c r="I2271" t="s">
        <v>1804</v>
      </c>
    </row>
    <row r="2272" spans="1:9" x14ac:dyDescent="0.3">
      <c r="C2272" t="s">
        <v>1728</v>
      </c>
      <c r="E2272" t="s">
        <v>784</v>
      </c>
      <c r="G2272" t="s">
        <v>2472</v>
      </c>
      <c r="I2272" t="s">
        <v>1805</v>
      </c>
    </row>
    <row r="2273" spans="1:9" x14ac:dyDescent="0.3">
      <c r="A2273" t="s">
        <v>1922</v>
      </c>
      <c r="C2273" t="s">
        <v>1729</v>
      </c>
      <c r="E2273" t="s">
        <v>785</v>
      </c>
      <c r="G2273" t="s">
        <v>2473</v>
      </c>
      <c r="I2273" t="s">
        <v>1806</v>
      </c>
    </row>
    <row r="2274" spans="1:9" x14ac:dyDescent="0.3">
      <c r="A2274" t="s">
        <v>1911</v>
      </c>
      <c r="C2274" t="s">
        <v>1730</v>
      </c>
      <c r="E2274" t="s">
        <v>786</v>
      </c>
      <c r="G2274" t="s">
        <v>2474</v>
      </c>
      <c r="I2274" t="s">
        <v>1807</v>
      </c>
    </row>
    <row r="2275" spans="1:9" x14ac:dyDescent="0.3">
      <c r="C2275" t="s">
        <v>1731</v>
      </c>
      <c r="E2275" t="s">
        <v>787</v>
      </c>
      <c r="G2275" t="s">
        <v>2475</v>
      </c>
    </row>
    <row r="2276" spans="1:9" x14ac:dyDescent="0.3">
      <c r="A2276" t="s">
        <v>1923</v>
      </c>
      <c r="C2276" t="s">
        <v>1734</v>
      </c>
      <c r="E2276" t="s">
        <v>788</v>
      </c>
      <c r="G2276">
        <v>11</v>
      </c>
    </row>
    <row r="2277" spans="1:9" x14ac:dyDescent="0.3">
      <c r="A2277" t="s">
        <v>1924</v>
      </c>
      <c r="C2277" t="s">
        <v>1735</v>
      </c>
      <c r="E2277" t="s">
        <v>789</v>
      </c>
      <c r="G2277" t="s">
        <v>89</v>
      </c>
      <c r="I2277" t="s">
        <v>1808</v>
      </c>
    </row>
    <row r="2278" spans="1:9" x14ac:dyDescent="0.3">
      <c r="A2278" t="s">
        <v>1925</v>
      </c>
      <c r="C2278" t="s">
        <v>491</v>
      </c>
      <c r="E2278" t="s">
        <v>790</v>
      </c>
      <c r="G2278" t="s">
        <v>2476</v>
      </c>
      <c r="I2278" t="s">
        <v>1554</v>
      </c>
    </row>
    <row r="2279" spans="1:9" x14ac:dyDescent="0.3">
      <c r="A2279" t="s">
        <v>1926</v>
      </c>
      <c r="C2279" t="s">
        <v>1736</v>
      </c>
      <c r="E2279" t="s">
        <v>791</v>
      </c>
      <c r="G2279" t="s">
        <v>2477</v>
      </c>
    </row>
    <row r="2280" spans="1:9" x14ac:dyDescent="0.3">
      <c r="A2280" t="s">
        <v>1927</v>
      </c>
      <c r="C2280" t="s">
        <v>1737</v>
      </c>
      <c r="E2280" t="s">
        <v>792</v>
      </c>
      <c r="G2280" t="s">
        <v>2478</v>
      </c>
      <c r="I2280" t="s">
        <v>3233</v>
      </c>
    </row>
    <row r="2281" spans="1:9" x14ac:dyDescent="0.3">
      <c r="A2281" t="s">
        <v>1928</v>
      </c>
      <c r="C2281" t="s">
        <v>1738</v>
      </c>
      <c r="E2281" t="s">
        <v>89</v>
      </c>
      <c r="G2281" t="s">
        <v>2479</v>
      </c>
    </row>
    <row r="2282" spans="1:9" x14ac:dyDescent="0.3">
      <c r="A2282" t="s">
        <v>1929</v>
      </c>
      <c r="C2282" t="s">
        <v>1739</v>
      </c>
      <c r="E2282" t="s">
        <v>793</v>
      </c>
      <c r="G2282" t="s">
        <v>2480</v>
      </c>
      <c r="I2282" t="s">
        <v>1803</v>
      </c>
    </row>
    <row r="2283" spans="1:9" x14ac:dyDescent="0.3">
      <c r="A2283" t="s">
        <v>1930</v>
      </c>
      <c r="C2283" t="s">
        <v>1740</v>
      </c>
      <c r="E2283" t="s">
        <v>794</v>
      </c>
      <c r="G2283" t="s">
        <v>2481</v>
      </c>
      <c r="I2283" t="s">
        <v>1804</v>
      </c>
    </row>
    <row r="2284" spans="1:9" x14ac:dyDescent="0.3">
      <c r="A2284" t="s">
        <v>1931</v>
      </c>
      <c r="C2284" t="s">
        <v>1741</v>
      </c>
      <c r="E2284" t="s">
        <v>795</v>
      </c>
      <c r="G2284" t="s">
        <v>2482</v>
      </c>
      <c r="I2284" t="s">
        <v>1805</v>
      </c>
    </row>
    <row r="2285" spans="1:9" x14ac:dyDescent="0.3">
      <c r="A2285" t="s">
        <v>1932</v>
      </c>
      <c r="C2285" t="s">
        <v>3419</v>
      </c>
      <c r="E2285" t="s">
        <v>796</v>
      </c>
      <c r="G2285" t="s">
        <v>2483</v>
      </c>
      <c r="I2285" t="s">
        <v>1806</v>
      </c>
    </row>
    <row r="2286" spans="1:9" x14ac:dyDescent="0.3">
      <c r="A2286" t="s">
        <v>1933</v>
      </c>
      <c r="E2286" t="s">
        <v>3714</v>
      </c>
      <c r="G2286" t="s">
        <v>2484</v>
      </c>
      <c r="I2286" t="s">
        <v>1807</v>
      </c>
    </row>
    <row r="2287" spans="1:9" x14ac:dyDescent="0.3">
      <c r="A2287" t="s">
        <v>1934</v>
      </c>
      <c r="E2287" t="s">
        <v>799</v>
      </c>
      <c r="G2287" t="s">
        <v>2485</v>
      </c>
      <c r="I2287" t="s">
        <v>1809</v>
      </c>
    </row>
    <row r="2288" spans="1:9" x14ac:dyDescent="0.3">
      <c r="A2288" t="s">
        <v>1935</v>
      </c>
      <c r="C2288" t="s">
        <v>1542</v>
      </c>
      <c r="E2288" t="s">
        <v>800</v>
      </c>
      <c r="G2288" t="s">
        <v>2486</v>
      </c>
      <c r="I2288" t="s">
        <v>1810</v>
      </c>
    </row>
    <row r="2289" spans="1:9" x14ac:dyDescent="0.3">
      <c r="A2289" t="s">
        <v>1936</v>
      </c>
      <c r="C2289" t="s">
        <v>1554</v>
      </c>
      <c r="E2289" t="s">
        <v>3715</v>
      </c>
      <c r="G2289" t="s">
        <v>2487</v>
      </c>
      <c r="I2289" t="s">
        <v>1811</v>
      </c>
    </row>
    <row r="2290" spans="1:9" x14ac:dyDescent="0.3">
      <c r="A2290" t="s">
        <v>1937</v>
      </c>
      <c r="G2290" t="s">
        <v>2488</v>
      </c>
      <c r="I2290" t="s">
        <v>1812</v>
      </c>
    </row>
    <row r="2291" spans="1:9" x14ac:dyDescent="0.3">
      <c r="A2291" t="s">
        <v>1938</v>
      </c>
      <c r="C2291" t="s">
        <v>3210</v>
      </c>
      <c r="G2291" t="s">
        <v>3450</v>
      </c>
      <c r="I2291" t="s">
        <v>1813</v>
      </c>
    </row>
    <row r="2292" spans="1:9" x14ac:dyDescent="0.3">
      <c r="E2292" t="s">
        <v>1660</v>
      </c>
      <c r="G2292" t="s">
        <v>2491</v>
      </c>
      <c r="I2292" t="s">
        <v>1814</v>
      </c>
    </row>
    <row r="2293" spans="1:9" x14ac:dyDescent="0.3">
      <c r="C2293" t="s">
        <v>1738</v>
      </c>
      <c r="E2293" t="s">
        <v>1503</v>
      </c>
      <c r="I2293" t="s">
        <v>1815</v>
      </c>
    </row>
    <row r="2294" spans="1:9" x14ac:dyDescent="0.3">
      <c r="A2294" t="s">
        <v>1939</v>
      </c>
      <c r="C2294" t="s">
        <v>1739</v>
      </c>
      <c r="I2294" t="s">
        <v>1816</v>
      </c>
    </row>
    <row r="2295" spans="1:9" x14ac:dyDescent="0.3">
      <c r="A2295" t="s">
        <v>1911</v>
      </c>
      <c r="C2295" t="s">
        <v>1740</v>
      </c>
      <c r="E2295" t="s">
        <v>3224</v>
      </c>
      <c r="G2295" t="s">
        <v>1268</v>
      </c>
      <c r="I2295" t="s">
        <v>1817</v>
      </c>
    </row>
    <row r="2296" spans="1:9" x14ac:dyDescent="0.3">
      <c r="C2296" t="s">
        <v>1741</v>
      </c>
      <c r="G2296" t="s">
        <v>1911</v>
      </c>
      <c r="I2296" t="s">
        <v>1818</v>
      </c>
    </row>
    <row r="2297" spans="1:9" x14ac:dyDescent="0.3">
      <c r="A2297" t="s">
        <v>1940</v>
      </c>
      <c r="C2297" t="s">
        <v>1742</v>
      </c>
      <c r="E2297" t="s">
        <v>3716</v>
      </c>
      <c r="I2297" t="s">
        <v>1819</v>
      </c>
    </row>
    <row r="2298" spans="1:9" x14ac:dyDescent="0.3">
      <c r="A2298" t="s">
        <v>1941</v>
      </c>
      <c r="C2298" t="s">
        <v>1743</v>
      </c>
      <c r="E2298" t="s">
        <v>805</v>
      </c>
      <c r="G2298" t="s">
        <v>3195</v>
      </c>
      <c r="I2298" t="s">
        <v>1820</v>
      </c>
    </row>
    <row r="2299" spans="1:9" x14ac:dyDescent="0.3">
      <c r="A2299" t="s">
        <v>1942</v>
      </c>
      <c r="C2299" t="s">
        <v>1744</v>
      </c>
      <c r="E2299" t="s">
        <v>806</v>
      </c>
      <c r="I2299" t="s">
        <v>1821</v>
      </c>
    </row>
    <row r="2300" spans="1:9" x14ac:dyDescent="0.3">
      <c r="A2300" t="e">
        <f>- installazione e manutenzione: impianti elettrici e impianti</f>
        <v>#NAME?</v>
      </c>
      <c r="C2300" t="s">
        <v>1745</v>
      </c>
      <c r="E2300" t="s">
        <v>807</v>
      </c>
      <c r="G2300" t="s">
        <v>2482</v>
      </c>
      <c r="I2300" t="s">
        <v>1822</v>
      </c>
    </row>
    <row r="2301" spans="1:9" x14ac:dyDescent="0.3">
      <c r="A2301" t="s">
        <v>1943</v>
      </c>
      <c r="C2301" t="s">
        <v>1746</v>
      </c>
      <c r="E2301" t="s">
        <v>808</v>
      </c>
      <c r="G2301" t="s">
        <v>2483</v>
      </c>
      <c r="I2301" t="s">
        <v>1823</v>
      </c>
    </row>
    <row r="2302" spans="1:9" x14ac:dyDescent="0.3">
      <c r="A2302" t="s">
        <v>1944</v>
      </c>
      <c r="C2302" t="s">
        <v>616</v>
      </c>
      <c r="E2302" t="s">
        <v>809</v>
      </c>
      <c r="G2302" t="s">
        <v>2484</v>
      </c>
    </row>
    <row r="2303" spans="1:9" x14ac:dyDescent="0.3">
      <c r="A2303" t="s">
        <v>1945</v>
      </c>
      <c r="C2303" t="s">
        <v>1747</v>
      </c>
      <c r="E2303" t="s">
        <v>810</v>
      </c>
      <c r="G2303" t="s">
        <v>2485</v>
      </c>
    </row>
    <row r="2304" spans="1:9" x14ac:dyDescent="0.3">
      <c r="A2304" t="s">
        <v>1946</v>
      </c>
      <c r="C2304" t="s">
        <v>1748</v>
      </c>
      <c r="E2304" t="s">
        <v>3717</v>
      </c>
      <c r="G2304" t="s">
        <v>2486</v>
      </c>
      <c r="I2304" t="s">
        <v>1824</v>
      </c>
    </row>
    <row r="2305" spans="1:9" x14ac:dyDescent="0.3">
      <c r="A2305" t="s">
        <v>1947</v>
      </c>
      <c r="C2305" t="s">
        <v>1749</v>
      </c>
      <c r="E2305" t="s">
        <v>813</v>
      </c>
      <c r="G2305" t="s">
        <v>2487</v>
      </c>
      <c r="I2305" t="s">
        <v>1554</v>
      </c>
    </row>
    <row r="2306" spans="1:9" x14ac:dyDescent="0.3">
      <c r="A2306" t="s">
        <v>1948</v>
      </c>
      <c r="C2306" t="s">
        <v>1750</v>
      </c>
      <c r="E2306" t="s">
        <v>3718</v>
      </c>
      <c r="G2306" t="s">
        <v>2488</v>
      </c>
    </row>
    <row r="2307" spans="1:9" x14ac:dyDescent="0.3">
      <c r="A2307" t="s">
        <v>1949</v>
      </c>
      <c r="C2307" t="s">
        <v>1752</v>
      </c>
      <c r="E2307" t="s">
        <v>816</v>
      </c>
      <c r="G2307" t="s">
        <v>3450</v>
      </c>
      <c r="I2307" t="s">
        <v>3234</v>
      </c>
    </row>
    <row r="2308" spans="1:9" x14ac:dyDescent="0.3">
      <c r="A2308" t="s">
        <v>1950</v>
      </c>
      <c r="C2308" t="s">
        <v>89</v>
      </c>
      <c r="E2308" t="s">
        <v>817</v>
      </c>
      <c r="G2308" t="s">
        <v>2491</v>
      </c>
    </row>
    <row r="2309" spans="1:9" x14ac:dyDescent="0.3">
      <c r="A2309" t="s">
        <v>1951</v>
      </c>
      <c r="C2309" t="s">
        <v>1753</v>
      </c>
      <c r="E2309" t="s">
        <v>818</v>
      </c>
      <c r="G2309" t="s">
        <v>2492</v>
      </c>
      <c r="I2309" t="s">
        <v>1821</v>
      </c>
    </row>
    <row r="2310" spans="1:9" x14ac:dyDescent="0.3">
      <c r="A2310" t="s">
        <v>1952</v>
      </c>
      <c r="C2310" t="s">
        <v>1754</v>
      </c>
      <c r="E2310" t="s">
        <v>3719</v>
      </c>
      <c r="G2310" t="s">
        <v>2493</v>
      </c>
      <c r="I2310" t="s">
        <v>1822</v>
      </c>
    </row>
    <row r="2311" spans="1:9" x14ac:dyDescent="0.3">
      <c r="A2311" t="s">
        <v>1953</v>
      </c>
      <c r="C2311" t="s">
        <v>1755</v>
      </c>
      <c r="E2311" t="s">
        <v>3720</v>
      </c>
      <c r="G2311" t="s">
        <v>2494</v>
      </c>
      <c r="I2311" t="s">
        <v>1825</v>
      </c>
    </row>
    <row r="2312" spans="1:9" x14ac:dyDescent="0.3">
      <c r="A2312" t="s">
        <v>1954</v>
      </c>
      <c r="C2312" t="s">
        <v>1756</v>
      </c>
      <c r="G2312" t="s">
        <v>2495</v>
      </c>
      <c r="I2312" t="s">
        <v>1826</v>
      </c>
    </row>
    <row r="2313" spans="1:9" x14ac:dyDescent="0.3">
      <c r="A2313" t="s">
        <v>1955</v>
      </c>
      <c r="C2313" t="s">
        <v>1757</v>
      </c>
      <c r="G2313" t="s">
        <v>2496</v>
      </c>
      <c r="I2313" t="s">
        <v>1827</v>
      </c>
    </row>
    <row r="2314" spans="1:9" x14ac:dyDescent="0.3">
      <c r="A2314" t="s">
        <v>1956</v>
      </c>
      <c r="C2314" t="s">
        <v>1758</v>
      </c>
      <c r="E2314" t="s">
        <v>1674</v>
      </c>
      <c r="G2314" t="s">
        <v>2497</v>
      </c>
      <c r="I2314" t="s">
        <v>1828</v>
      </c>
    </row>
    <row r="2315" spans="1:9" x14ac:dyDescent="0.3">
      <c r="A2315" t="s">
        <v>1957</v>
      </c>
      <c r="C2315" t="s">
        <v>1759</v>
      </c>
      <c r="E2315" t="s">
        <v>1503</v>
      </c>
      <c r="G2315" t="s">
        <v>2498</v>
      </c>
      <c r="I2315" t="s">
        <v>1829</v>
      </c>
    </row>
    <row r="2316" spans="1:9" x14ac:dyDescent="0.3">
      <c r="A2316" t="s">
        <v>1958</v>
      </c>
      <c r="C2316" t="s">
        <v>3420</v>
      </c>
      <c r="G2316" t="s">
        <v>2499</v>
      </c>
      <c r="I2316" t="s">
        <v>1830</v>
      </c>
    </row>
    <row r="2317" spans="1:9" x14ac:dyDescent="0.3">
      <c r="A2317" t="s">
        <v>1959</v>
      </c>
      <c r="E2317" t="s">
        <v>3225</v>
      </c>
      <c r="G2317" t="s">
        <v>2500</v>
      </c>
      <c r="I2317" t="s">
        <v>89</v>
      </c>
    </row>
    <row r="2318" spans="1:9" x14ac:dyDescent="0.3">
      <c r="A2318" t="s">
        <v>1960</v>
      </c>
      <c r="G2318" t="s">
        <v>2493</v>
      </c>
      <c r="I2318" t="s">
        <v>1831</v>
      </c>
    </row>
    <row r="2319" spans="1:9" x14ac:dyDescent="0.3">
      <c r="A2319" t="s">
        <v>1961</v>
      </c>
      <c r="C2319" t="s">
        <v>1544</v>
      </c>
      <c r="E2319" t="s">
        <v>3721</v>
      </c>
      <c r="G2319" t="s">
        <v>2501</v>
      </c>
      <c r="I2319" t="s">
        <v>1832</v>
      </c>
    </row>
    <row r="2320" spans="1:9" x14ac:dyDescent="0.3">
      <c r="A2320" t="s">
        <v>1962</v>
      </c>
      <c r="C2320" t="s">
        <v>1554</v>
      </c>
      <c r="E2320" t="s">
        <v>826</v>
      </c>
      <c r="G2320" t="s">
        <v>2502</v>
      </c>
      <c r="I2320" t="s">
        <v>1833</v>
      </c>
    </row>
    <row r="2321" spans="1:9" x14ac:dyDescent="0.3">
      <c r="A2321">
        <v>1</v>
      </c>
      <c r="E2321" t="s">
        <v>3722</v>
      </c>
      <c r="G2321" t="s">
        <v>2503</v>
      </c>
      <c r="I2321" t="s">
        <v>1834</v>
      </c>
    </row>
    <row r="2322" spans="1:9" x14ac:dyDescent="0.3">
      <c r="A2322" t="s">
        <v>89</v>
      </c>
      <c r="C2322" t="s">
        <v>3211</v>
      </c>
      <c r="E2322" t="s">
        <v>3723</v>
      </c>
      <c r="G2322" t="s">
        <v>2504</v>
      </c>
      <c r="I2322" t="s">
        <v>1835</v>
      </c>
    </row>
    <row r="2323" spans="1:9" x14ac:dyDescent="0.3">
      <c r="A2323" t="s">
        <v>1963</v>
      </c>
      <c r="E2323" t="s">
        <v>830</v>
      </c>
      <c r="G2323" t="s">
        <v>2505</v>
      </c>
      <c r="I2323" t="s">
        <v>1836</v>
      </c>
    </row>
    <row r="2324" spans="1:9" x14ac:dyDescent="0.3">
      <c r="A2324" t="s">
        <v>1964</v>
      </c>
      <c r="C2324" t="s">
        <v>1754</v>
      </c>
      <c r="E2324" t="s">
        <v>831</v>
      </c>
      <c r="G2324" t="s">
        <v>2506</v>
      </c>
      <c r="I2324" t="s">
        <v>1837</v>
      </c>
    </row>
    <row r="2325" spans="1:9" x14ac:dyDescent="0.3">
      <c r="A2325" t="s">
        <v>1965</v>
      </c>
      <c r="C2325" t="s">
        <v>1755</v>
      </c>
      <c r="E2325" t="s">
        <v>832</v>
      </c>
      <c r="G2325" t="s">
        <v>2507</v>
      </c>
      <c r="I2325" t="s">
        <v>1838</v>
      </c>
    </row>
    <row r="2326" spans="1:9" x14ac:dyDescent="0.3">
      <c r="A2326" t="s">
        <v>1966</v>
      </c>
      <c r="C2326" t="s">
        <v>1756</v>
      </c>
      <c r="E2326" t="s">
        <v>833</v>
      </c>
      <c r="G2326" t="s">
        <v>2508</v>
      </c>
      <c r="I2326" t="s">
        <v>1839</v>
      </c>
    </row>
    <row r="2327" spans="1:9" x14ac:dyDescent="0.3">
      <c r="A2327" t="s">
        <v>1967</v>
      </c>
      <c r="C2327" t="s">
        <v>1757</v>
      </c>
      <c r="E2327" t="s">
        <v>834</v>
      </c>
      <c r="G2327" t="s">
        <v>1009</v>
      </c>
      <c r="I2327" t="s">
        <v>1840</v>
      </c>
    </row>
    <row r="2328" spans="1:9" x14ac:dyDescent="0.3">
      <c r="A2328" t="e">
        <f>- installazione e manutenzione di: cabine di trasformazione</f>
        <v>#NAME?</v>
      </c>
      <c r="C2328" t="s">
        <v>1758</v>
      </c>
      <c r="E2328" t="s">
        <v>835</v>
      </c>
      <c r="G2328" t="s">
        <v>2511</v>
      </c>
    </row>
    <row r="2329" spans="1:9" x14ac:dyDescent="0.3">
      <c r="C2329" t="s">
        <v>1759</v>
      </c>
      <c r="E2329" t="s">
        <v>836</v>
      </c>
      <c r="G2329" t="s">
        <v>2512</v>
      </c>
    </row>
    <row r="2330" spans="1:9" x14ac:dyDescent="0.3">
      <c r="C2330" t="s">
        <v>1760</v>
      </c>
      <c r="E2330" t="s">
        <v>3724</v>
      </c>
      <c r="G2330" t="s">
        <v>2513</v>
      </c>
      <c r="I2330" t="s">
        <v>1841</v>
      </c>
    </row>
    <row r="2331" spans="1:9" x14ac:dyDescent="0.3">
      <c r="A2331" t="s">
        <v>1968</v>
      </c>
      <c r="C2331" t="s">
        <v>1761</v>
      </c>
      <c r="E2331" t="s">
        <v>3725</v>
      </c>
      <c r="G2331" t="s">
        <v>2514</v>
      </c>
      <c r="I2331" t="s">
        <v>1554</v>
      </c>
    </row>
    <row r="2332" spans="1:9" x14ac:dyDescent="0.3">
      <c r="A2332" t="s">
        <v>1911</v>
      </c>
      <c r="C2332" t="s">
        <v>1762</v>
      </c>
      <c r="E2332" t="s">
        <v>841</v>
      </c>
      <c r="G2332" t="s">
        <v>286</v>
      </c>
    </row>
    <row r="2333" spans="1:9" x14ac:dyDescent="0.3">
      <c r="C2333" t="s">
        <v>1763</v>
      </c>
      <c r="E2333" t="s">
        <v>842</v>
      </c>
      <c r="G2333" t="s">
        <v>287</v>
      </c>
      <c r="I2333" t="s">
        <v>3235</v>
      </c>
    </row>
    <row r="2334" spans="1:9" x14ac:dyDescent="0.3">
      <c r="A2334" t="s">
        <v>1962</v>
      </c>
      <c r="C2334" t="s">
        <v>1764</v>
      </c>
      <c r="E2334" t="s">
        <v>843</v>
      </c>
      <c r="G2334" t="s">
        <v>2515</v>
      </c>
    </row>
    <row r="2335" spans="1:9" x14ac:dyDescent="0.3">
      <c r="A2335">
        <v>1</v>
      </c>
      <c r="C2335" t="s">
        <v>1765</v>
      </c>
      <c r="E2335" t="s">
        <v>3726</v>
      </c>
      <c r="G2335" t="s">
        <v>2516</v>
      </c>
      <c r="I2335" t="s">
        <v>1836</v>
      </c>
    </row>
    <row r="2336" spans="1:9" x14ac:dyDescent="0.3">
      <c r="A2336" t="s">
        <v>89</v>
      </c>
      <c r="C2336" t="s">
        <v>3421</v>
      </c>
      <c r="G2336" t="s">
        <v>2517</v>
      </c>
      <c r="I2336" t="s">
        <v>1837</v>
      </c>
    </row>
    <row r="2337" spans="1:9" x14ac:dyDescent="0.3">
      <c r="A2337" t="s">
        <v>1963</v>
      </c>
      <c r="C2337" t="s">
        <v>1768</v>
      </c>
      <c r="G2337" t="s">
        <v>2518</v>
      </c>
      <c r="I2337" t="s">
        <v>1838</v>
      </c>
    </row>
    <row r="2338" spans="1:9" x14ac:dyDescent="0.3">
      <c r="A2338" t="s">
        <v>1964</v>
      </c>
      <c r="C2338" t="s">
        <v>1769</v>
      </c>
      <c r="E2338" t="s">
        <v>1691</v>
      </c>
      <c r="G2338" t="s">
        <v>2519</v>
      </c>
      <c r="I2338" t="s">
        <v>1839</v>
      </c>
    </row>
    <row r="2339" spans="1:9" x14ac:dyDescent="0.3">
      <c r="A2339" t="s">
        <v>1965</v>
      </c>
      <c r="C2339" t="s">
        <v>1770</v>
      </c>
      <c r="E2339" t="s">
        <v>1503</v>
      </c>
      <c r="G2339" t="s">
        <v>2520</v>
      </c>
      <c r="I2339" t="s">
        <v>1840</v>
      </c>
    </row>
    <row r="2340" spans="1:9" x14ac:dyDescent="0.3">
      <c r="A2340" t="s">
        <v>1966</v>
      </c>
      <c r="C2340" t="s">
        <v>1771</v>
      </c>
      <c r="I2340" t="s">
        <v>1842</v>
      </c>
    </row>
    <row r="2341" spans="1:9" x14ac:dyDescent="0.3">
      <c r="A2341" t="s">
        <v>1967</v>
      </c>
      <c r="C2341" t="s">
        <v>1772</v>
      </c>
      <c r="E2341" t="s">
        <v>3226</v>
      </c>
      <c r="I2341" t="s">
        <v>1843</v>
      </c>
    </row>
    <row r="2342" spans="1:9" x14ac:dyDescent="0.3">
      <c r="A2342" t="e">
        <f>- installazione e manutenzione di: cabine di trasformazione</f>
        <v>#NAME?</v>
      </c>
      <c r="C2342" t="s">
        <v>1773</v>
      </c>
      <c r="G2342" t="s">
        <v>1291</v>
      </c>
      <c r="I2342" t="s">
        <v>1844</v>
      </c>
    </row>
    <row r="2343" spans="1:9" x14ac:dyDescent="0.3">
      <c r="A2343" t="s">
        <v>1969</v>
      </c>
      <c r="C2343" t="s">
        <v>1774</v>
      </c>
      <c r="E2343" t="s">
        <v>3727</v>
      </c>
      <c r="G2343" t="s">
        <v>1911</v>
      </c>
      <c r="I2343" t="s">
        <v>1845</v>
      </c>
    </row>
    <row r="2344" spans="1:9" x14ac:dyDescent="0.3">
      <c r="A2344" t="s">
        <v>1970</v>
      </c>
      <c r="C2344" t="s">
        <v>1775</v>
      </c>
      <c r="E2344" t="s">
        <v>847</v>
      </c>
      <c r="I2344" t="s">
        <v>1846</v>
      </c>
    </row>
    <row r="2345" spans="1:9" x14ac:dyDescent="0.3">
      <c r="A2345" t="s">
        <v>1971</v>
      </c>
      <c r="C2345" t="s">
        <v>1776</v>
      </c>
      <c r="E2345" t="s">
        <v>848</v>
      </c>
      <c r="G2345" t="s">
        <v>3196</v>
      </c>
      <c r="I2345" t="s">
        <v>1847</v>
      </c>
    </row>
    <row r="2346" spans="1:9" x14ac:dyDescent="0.3">
      <c r="A2346" t="s">
        <v>1972</v>
      </c>
      <c r="C2346" t="s">
        <v>1777</v>
      </c>
      <c r="E2346" t="s">
        <v>849</v>
      </c>
      <c r="I2346" t="s">
        <v>1848</v>
      </c>
    </row>
    <row r="2347" spans="1:9" x14ac:dyDescent="0.3">
      <c r="A2347" t="s">
        <v>1973</v>
      </c>
      <c r="C2347" t="s">
        <v>1778</v>
      </c>
      <c r="E2347" t="s">
        <v>850</v>
      </c>
      <c r="G2347" t="s">
        <v>286</v>
      </c>
      <c r="I2347" t="s">
        <v>1849</v>
      </c>
    </row>
    <row r="2348" spans="1:9" x14ac:dyDescent="0.3">
      <c r="A2348" t="s">
        <v>1974</v>
      </c>
      <c r="C2348" t="s">
        <v>1779</v>
      </c>
      <c r="E2348" t="s">
        <v>851</v>
      </c>
      <c r="G2348" t="s">
        <v>287</v>
      </c>
      <c r="I2348" t="s">
        <v>1850</v>
      </c>
    </row>
    <row r="2349" spans="1:9" x14ac:dyDescent="0.3">
      <c r="A2349" t="s">
        <v>1975</v>
      </c>
      <c r="C2349" t="s">
        <v>1780</v>
      </c>
      <c r="E2349" t="s">
        <v>852</v>
      </c>
      <c r="G2349" t="s">
        <v>2515</v>
      </c>
      <c r="I2349" t="s">
        <v>1851</v>
      </c>
    </row>
    <row r="2350" spans="1:9" x14ac:dyDescent="0.3">
      <c r="A2350" t="s">
        <v>1976</v>
      </c>
      <c r="C2350" t="s">
        <v>1781</v>
      </c>
      <c r="E2350" t="s">
        <v>853</v>
      </c>
      <c r="G2350" t="s">
        <v>2516</v>
      </c>
      <c r="I2350" t="s">
        <v>1852</v>
      </c>
    </row>
    <row r="2351" spans="1:9" x14ac:dyDescent="0.3">
      <c r="A2351" t="s">
        <v>1977</v>
      </c>
      <c r="E2351" t="s">
        <v>89</v>
      </c>
      <c r="G2351" t="s">
        <v>2517</v>
      </c>
      <c r="I2351" t="s">
        <v>1853</v>
      </c>
    </row>
    <row r="2352" spans="1:9" x14ac:dyDescent="0.3">
      <c r="A2352" t="s">
        <v>1978</v>
      </c>
      <c r="E2352" t="s">
        <v>854</v>
      </c>
      <c r="G2352" t="s">
        <v>2518</v>
      </c>
      <c r="I2352" t="s">
        <v>1854</v>
      </c>
    </row>
    <row r="2353" spans="1:9" x14ac:dyDescent="0.3">
      <c r="A2353" t="s">
        <v>1979</v>
      </c>
      <c r="C2353" t="s">
        <v>1546</v>
      </c>
      <c r="E2353" t="s">
        <v>855</v>
      </c>
      <c r="G2353" t="s">
        <v>2519</v>
      </c>
      <c r="I2353" t="s">
        <v>1855</v>
      </c>
    </row>
    <row r="2354" spans="1:9" x14ac:dyDescent="0.3">
      <c r="A2354" t="s">
        <v>1980</v>
      </c>
      <c r="C2354" t="s">
        <v>1554</v>
      </c>
      <c r="E2354" t="s">
        <v>856</v>
      </c>
      <c r="G2354" t="s">
        <v>2520</v>
      </c>
      <c r="I2354" t="s">
        <v>1856</v>
      </c>
    </row>
    <row r="2355" spans="1:9" x14ac:dyDescent="0.3">
      <c r="A2355" t="s">
        <v>1981</v>
      </c>
      <c r="E2355" t="s">
        <v>3728</v>
      </c>
      <c r="G2355" t="s">
        <v>2521</v>
      </c>
      <c r="I2355" t="s">
        <v>1857</v>
      </c>
    </row>
    <row r="2356" spans="1:9" x14ac:dyDescent="0.3">
      <c r="A2356" t="s">
        <v>1982</v>
      </c>
      <c r="C2356" t="s">
        <v>3212</v>
      </c>
      <c r="E2356" t="s">
        <v>858</v>
      </c>
      <c r="G2356" t="s">
        <v>2522</v>
      </c>
      <c r="I2356" t="s">
        <v>1858</v>
      </c>
    </row>
    <row r="2357" spans="1:9" x14ac:dyDescent="0.3">
      <c r="A2357" t="s">
        <v>1983</v>
      </c>
      <c r="E2357" t="s">
        <v>859</v>
      </c>
      <c r="G2357" t="s">
        <v>2523</v>
      </c>
      <c r="I2357" t="s">
        <v>1859</v>
      </c>
    </row>
    <row r="2358" spans="1:9" x14ac:dyDescent="0.3">
      <c r="A2358" t="s">
        <v>1984</v>
      </c>
      <c r="C2358" t="s">
        <v>1777</v>
      </c>
      <c r="E2358" t="s">
        <v>860</v>
      </c>
      <c r="G2358" t="s">
        <v>2524</v>
      </c>
    </row>
    <row r="2359" spans="1:9" x14ac:dyDescent="0.3">
      <c r="A2359" t="s">
        <v>1985</v>
      </c>
      <c r="C2359" t="s">
        <v>1778</v>
      </c>
      <c r="E2359" t="s">
        <v>861</v>
      </c>
      <c r="G2359">
        <v>12</v>
      </c>
    </row>
    <row r="2360" spans="1:9" x14ac:dyDescent="0.3">
      <c r="A2360" t="s">
        <v>1986</v>
      </c>
      <c r="C2360" t="s">
        <v>1779</v>
      </c>
      <c r="E2360" t="s">
        <v>862</v>
      </c>
      <c r="G2360" t="s">
        <v>89</v>
      </c>
      <c r="I2360" t="s">
        <v>1860</v>
      </c>
    </row>
    <row r="2361" spans="1:9" x14ac:dyDescent="0.3">
      <c r="A2361" t="s">
        <v>1987</v>
      </c>
      <c r="C2361" t="s">
        <v>1780</v>
      </c>
      <c r="E2361" t="s">
        <v>863</v>
      </c>
      <c r="G2361" t="s">
        <v>2525</v>
      </c>
      <c r="I2361" t="s">
        <v>1554</v>
      </c>
    </row>
    <row r="2362" spans="1:9" x14ac:dyDescent="0.3">
      <c r="A2362" t="s">
        <v>1988</v>
      </c>
      <c r="C2362" t="s">
        <v>1781</v>
      </c>
      <c r="E2362" t="s">
        <v>864</v>
      </c>
      <c r="G2362" t="s">
        <v>2526</v>
      </c>
    </row>
    <row r="2363" spans="1:9" x14ac:dyDescent="0.3">
      <c r="A2363" t="s">
        <v>1989</v>
      </c>
      <c r="C2363" t="s">
        <v>1782</v>
      </c>
      <c r="E2363" t="s">
        <v>867</v>
      </c>
      <c r="G2363" t="s">
        <v>2527</v>
      </c>
      <c r="I2363" t="s">
        <v>3236</v>
      </c>
    </row>
    <row r="2364" spans="1:9" x14ac:dyDescent="0.3">
      <c r="A2364" t="s">
        <v>1990</v>
      </c>
      <c r="C2364" t="s">
        <v>1783</v>
      </c>
      <c r="E2364" t="s">
        <v>868</v>
      </c>
      <c r="G2364" t="s">
        <v>2528</v>
      </c>
    </row>
    <row r="2365" spans="1:9" x14ac:dyDescent="0.3">
      <c r="C2365" t="s">
        <v>1784</v>
      </c>
      <c r="E2365" t="s">
        <v>869</v>
      </c>
      <c r="G2365" t="s">
        <v>3451</v>
      </c>
      <c r="I2365" t="s">
        <v>1853</v>
      </c>
    </row>
    <row r="2366" spans="1:9" x14ac:dyDescent="0.3">
      <c r="C2366" t="s">
        <v>1785</v>
      </c>
      <c r="E2366" t="s">
        <v>3729</v>
      </c>
      <c r="G2366" t="s">
        <v>2531</v>
      </c>
      <c r="I2366" t="s">
        <v>1854</v>
      </c>
    </row>
    <row r="2367" spans="1:9" x14ac:dyDescent="0.3">
      <c r="A2367" t="s">
        <v>1991</v>
      </c>
      <c r="C2367" t="s">
        <v>1786</v>
      </c>
      <c r="G2367" t="s">
        <v>2532</v>
      </c>
      <c r="I2367" t="s">
        <v>1855</v>
      </c>
    </row>
    <row r="2368" spans="1:9" x14ac:dyDescent="0.3">
      <c r="A2368" t="s">
        <v>1911</v>
      </c>
      <c r="C2368" t="s">
        <v>1787</v>
      </c>
      <c r="G2368" t="s">
        <v>2533</v>
      </c>
      <c r="I2368" t="s">
        <v>1856</v>
      </c>
    </row>
    <row r="2369" spans="1:9" x14ac:dyDescent="0.3">
      <c r="C2369" t="s">
        <v>1788</v>
      </c>
      <c r="E2369" t="s">
        <v>1708</v>
      </c>
      <c r="G2369" t="s">
        <v>2534</v>
      </c>
      <c r="I2369" t="s">
        <v>1857</v>
      </c>
    </row>
    <row r="2370" spans="1:9" x14ac:dyDescent="0.3">
      <c r="A2370" t="s">
        <v>1984</v>
      </c>
      <c r="C2370" t="s">
        <v>1789</v>
      </c>
      <c r="E2370" t="s">
        <v>1503</v>
      </c>
      <c r="G2370" t="s">
        <v>2535</v>
      </c>
      <c r="I2370" t="s">
        <v>1858</v>
      </c>
    </row>
    <row r="2371" spans="1:9" x14ac:dyDescent="0.3">
      <c r="A2371" t="s">
        <v>1985</v>
      </c>
      <c r="C2371" t="s">
        <v>89</v>
      </c>
      <c r="G2371" t="s">
        <v>2536</v>
      </c>
      <c r="I2371" t="s">
        <v>1861</v>
      </c>
    </row>
    <row r="2372" spans="1:9" x14ac:dyDescent="0.3">
      <c r="A2372" t="s">
        <v>1986</v>
      </c>
      <c r="C2372" t="s">
        <v>1791</v>
      </c>
      <c r="E2372" t="s">
        <v>3227</v>
      </c>
      <c r="G2372" t="s">
        <v>2537</v>
      </c>
      <c r="I2372" t="s">
        <v>1862</v>
      </c>
    </row>
    <row r="2373" spans="1:9" x14ac:dyDescent="0.3">
      <c r="A2373" t="s">
        <v>1987</v>
      </c>
      <c r="C2373" t="s">
        <v>1792</v>
      </c>
      <c r="G2373" t="s">
        <v>2538</v>
      </c>
      <c r="I2373" t="s">
        <v>1863</v>
      </c>
    </row>
    <row r="2374" spans="1:9" x14ac:dyDescent="0.3">
      <c r="A2374" t="s">
        <v>1988</v>
      </c>
      <c r="C2374" t="s">
        <v>1793</v>
      </c>
      <c r="E2374" t="s">
        <v>3730</v>
      </c>
      <c r="G2374" t="s">
        <v>2539</v>
      </c>
      <c r="I2374" t="s">
        <v>1864</v>
      </c>
    </row>
    <row r="2375" spans="1:9" x14ac:dyDescent="0.3">
      <c r="A2375" t="s">
        <v>1989</v>
      </c>
      <c r="C2375" t="s">
        <v>1794</v>
      </c>
      <c r="E2375" t="s">
        <v>871</v>
      </c>
      <c r="G2375" t="s">
        <v>2540</v>
      </c>
    </row>
    <row r="2376" spans="1:9" x14ac:dyDescent="0.3">
      <c r="A2376" t="s">
        <v>1990</v>
      </c>
      <c r="C2376" t="s">
        <v>1795</v>
      </c>
      <c r="E2376" t="s">
        <v>872</v>
      </c>
      <c r="G2376" t="s">
        <v>2541</v>
      </c>
    </row>
    <row r="2377" spans="1:9" x14ac:dyDescent="0.3">
      <c r="A2377" t="s">
        <v>1992</v>
      </c>
      <c r="C2377" t="s">
        <v>1796</v>
      </c>
      <c r="E2377" t="s">
        <v>873</v>
      </c>
      <c r="G2377" t="s">
        <v>2542</v>
      </c>
      <c r="I2377" t="s">
        <v>1865</v>
      </c>
    </row>
    <row r="2378" spans="1:9" x14ac:dyDescent="0.3">
      <c r="A2378" t="s">
        <v>1993</v>
      </c>
      <c r="C2378" t="s">
        <v>1797</v>
      </c>
      <c r="E2378" t="s">
        <v>874</v>
      </c>
      <c r="G2378" t="s">
        <v>2543</v>
      </c>
      <c r="I2378" t="s">
        <v>1554</v>
      </c>
    </row>
    <row r="2379" spans="1:9" x14ac:dyDescent="0.3">
      <c r="A2379" t="s">
        <v>1994</v>
      </c>
      <c r="E2379" t="s">
        <v>875</v>
      </c>
      <c r="G2379" t="s">
        <v>3452</v>
      </c>
    </row>
    <row r="2380" spans="1:9" x14ac:dyDescent="0.3">
      <c r="A2380" t="s">
        <v>1995</v>
      </c>
      <c r="E2380" t="s">
        <v>876</v>
      </c>
      <c r="G2380" t="s">
        <v>2546</v>
      </c>
      <c r="I2380" t="s">
        <v>3237</v>
      </c>
    </row>
    <row r="2381" spans="1:9" x14ac:dyDescent="0.3">
      <c r="A2381" t="s">
        <v>1996</v>
      </c>
      <c r="C2381" t="s">
        <v>1548</v>
      </c>
      <c r="E2381" t="s">
        <v>877</v>
      </c>
      <c r="G2381" t="s">
        <v>2547</v>
      </c>
    </row>
    <row r="2382" spans="1:9" x14ac:dyDescent="0.3">
      <c r="A2382" t="s">
        <v>1997</v>
      </c>
      <c r="C2382" t="s">
        <v>1554</v>
      </c>
      <c r="E2382" t="s">
        <v>878</v>
      </c>
      <c r="G2382" t="s">
        <v>2548</v>
      </c>
      <c r="I2382" t="s">
        <v>1866</v>
      </c>
    </row>
    <row r="2383" spans="1:9" x14ac:dyDescent="0.3">
      <c r="A2383" t="s">
        <v>1998</v>
      </c>
      <c r="E2383" t="s">
        <v>879</v>
      </c>
      <c r="G2383" t="s">
        <v>2549</v>
      </c>
      <c r="I2383" t="s">
        <v>1867</v>
      </c>
    </row>
    <row r="2384" spans="1:9" x14ac:dyDescent="0.3">
      <c r="A2384" t="s">
        <v>1999</v>
      </c>
      <c r="C2384" t="s">
        <v>3213</v>
      </c>
      <c r="E2384" t="s">
        <v>880</v>
      </c>
      <c r="G2384" t="s">
        <v>2550</v>
      </c>
      <c r="I2384" t="s">
        <v>1868</v>
      </c>
    </row>
    <row r="2385" spans="1:9" x14ac:dyDescent="0.3">
      <c r="A2385" t="s">
        <v>2000</v>
      </c>
      <c r="E2385" t="s">
        <v>3731</v>
      </c>
      <c r="G2385" t="s">
        <v>2551</v>
      </c>
      <c r="I2385" t="s">
        <v>1869</v>
      </c>
    </row>
    <row r="2386" spans="1:9" x14ac:dyDescent="0.3">
      <c r="A2386" t="s">
        <v>2001</v>
      </c>
      <c r="C2386" t="s">
        <v>1794</v>
      </c>
      <c r="E2386" t="s">
        <v>883</v>
      </c>
      <c r="I2386" t="s">
        <v>1870</v>
      </c>
    </row>
    <row r="2387" spans="1:9" x14ac:dyDescent="0.3">
      <c r="A2387" t="s">
        <v>2002</v>
      </c>
      <c r="C2387" t="s">
        <v>1795</v>
      </c>
      <c r="E2387" t="s">
        <v>884</v>
      </c>
    </row>
    <row r="2388" spans="1:9" x14ac:dyDescent="0.3">
      <c r="A2388" t="s">
        <v>2003</v>
      </c>
      <c r="C2388" t="s">
        <v>1796</v>
      </c>
      <c r="E2388" t="s">
        <v>885</v>
      </c>
      <c r="G2388" t="s">
        <v>1302</v>
      </c>
    </row>
    <row r="2389" spans="1:9" x14ac:dyDescent="0.3">
      <c r="A2389" t="e">
        <f>- impianti di sollevamento di persone o di cose per mezzo di</f>
        <v>#NAME?</v>
      </c>
      <c r="C2389" t="s">
        <v>1797</v>
      </c>
      <c r="E2389" t="s">
        <v>886</v>
      </c>
      <c r="G2389" t="s">
        <v>1911</v>
      </c>
      <c r="I2389" t="s">
        <v>1871</v>
      </c>
    </row>
    <row r="2390" spans="1:9" x14ac:dyDescent="0.3">
      <c r="A2390" t="s">
        <v>2004</v>
      </c>
      <c r="C2390" t="s">
        <v>1798</v>
      </c>
      <c r="E2390" t="s">
        <v>889</v>
      </c>
      <c r="I2390" t="s">
        <v>1554</v>
      </c>
    </row>
    <row r="2391" spans="1:9" x14ac:dyDescent="0.3">
      <c r="A2391" t="s">
        <v>2005</v>
      </c>
      <c r="C2391" t="s">
        <v>1799</v>
      </c>
      <c r="E2391" t="s">
        <v>890</v>
      </c>
      <c r="G2391" t="s">
        <v>3197</v>
      </c>
    </row>
    <row r="2392" spans="1:9" x14ac:dyDescent="0.3">
      <c r="A2392" t="s">
        <v>2006</v>
      </c>
      <c r="C2392" t="s">
        <v>1800</v>
      </c>
      <c r="E2392" t="s">
        <v>891</v>
      </c>
      <c r="I2392" t="s">
        <v>3238</v>
      </c>
    </row>
    <row r="2393" spans="1:9" x14ac:dyDescent="0.3">
      <c r="A2393" t="s">
        <v>2007</v>
      </c>
      <c r="C2393" t="s">
        <v>1801</v>
      </c>
      <c r="E2393" t="s">
        <v>3732</v>
      </c>
      <c r="G2393" t="s">
        <v>2543</v>
      </c>
    </row>
    <row r="2394" spans="1:9" x14ac:dyDescent="0.3">
      <c r="A2394" t="s">
        <v>2008</v>
      </c>
      <c r="C2394" t="s">
        <v>1802</v>
      </c>
      <c r="E2394" t="s">
        <v>894</v>
      </c>
      <c r="G2394" t="s">
        <v>3452</v>
      </c>
      <c r="I2394" t="s">
        <v>1872</v>
      </c>
    </row>
    <row r="2395" spans="1:9" x14ac:dyDescent="0.3">
      <c r="A2395" t="e">
        <f>-  riparazioni di alimentazioni per autoveicoli a combustione</f>
        <v>#NAME?</v>
      </c>
      <c r="C2395" t="s">
        <v>1803</v>
      </c>
      <c r="E2395" t="s">
        <v>3733</v>
      </c>
      <c r="G2395" t="s">
        <v>2546</v>
      </c>
      <c r="I2395" t="s">
        <v>89</v>
      </c>
    </row>
    <row r="2396" spans="1:9" x14ac:dyDescent="0.3">
      <c r="A2396" t="s">
        <v>2009</v>
      </c>
      <c r="C2396" t="s">
        <v>1804</v>
      </c>
      <c r="G2396" t="s">
        <v>2547</v>
      </c>
      <c r="I2396" t="s">
        <v>1873</v>
      </c>
    </row>
    <row r="2397" spans="1:9" x14ac:dyDescent="0.3">
      <c r="A2397" t="s">
        <v>2010</v>
      </c>
      <c r="C2397" t="s">
        <v>1805</v>
      </c>
      <c r="G2397" t="s">
        <v>2548</v>
      </c>
      <c r="I2397" t="s">
        <v>1874</v>
      </c>
    </row>
    <row r="2398" spans="1:9" x14ac:dyDescent="0.3">
      <c r="A2398" t="s">
        <v>2011</v>
      </c>
      <c r="C2398" t="s">
        <v>1806</v>
      </c>
      <c r="E2398" t="s">
        <v>1711</v>
      </c>
      <c r="G2398" t="s">
        <v>2549</v>
      </c>
      <c r="I2398" t="s">
        <v>1875</v>
      </c>
    </row>
    <row r="2399" spans="1:9" x14ac:dyDescent="0.3">
      <c r="A2399">
        <v>2</v>
      </c>
      <c r="C2399" t="s">
        <v>1807</v>
      </c>
      <c r="E2399" t="s">
        <v>1503</v>
      </c>
      <c r="G2399" t="s">
        <v>2550</v>
      </c>
      <c r="I2399" t="s">
        <v>1876</v>
      </c>
    </row>
    <row r="2400" spans="1:9" x14ac:dyDescent="0.3">
      <c r="A2400" t="s">
        <v>89</v>
      </c>
      <c r="C2400" t="s">
        <v>1809</v>
      </c>
      <c r="G2400" t="s">
        <v>2551</v>
      </c>
      <c r="I2400" t="s">
        <v>1877</v>
      </c>
    </row>
    <row r="2401" spans="1:9" x14ac:dyDescent="0.3">
      <c r="A2401" t="s">
        <v>2012</v>
      </c>
      <c r="C2401" t="s">
        <v>1810</v>
      </c>
      <c r="E2401" t="s">
        <v>3228</v>
      </c>
      <c r="G2401" t="s">
        <v>2552</v>
      </c>
      <c r="I2401" t="s">
        <v>1878</v>
      </c>
    </row>
    <row r="2402" spans="1:9" x14ac:dyDescent="0.3">
      <c r="A2402" t="s">
        <v>2013</v>
      </c>
      <c r="C2402" t="s">
        <v>1811</v>
      </c>
      <c r="G2402" t="s">
        <v>2553</v>
      </c>
      <c r="I2402" t="s">
        <v>1879</v>
      </c>
    </row>
    <row r="2403" spans="1:9" x14ac:dyDescent="0.3">
      <c r="A2403" t="s">
        <v>2014</v>
      </c>
      <c r="C2403" t="s">
        <v>1812</v>
      </c>
      <c r="E2403" t="s">
        <v>3734</v>
      </c>
      <c r="G2403" t="s">
        <v>2554</v>
      </c>
      <c r="I2403" t="s">
        <v>1880</v>
      </c>
    </row>
    <row r="2404" spans="1:9" x14ac:dyDescent="0.3">
      <c r="A2404" t="s">
        <v>2015</v>
      </c>
      <c r="C2404" t="s">
        <v>1813</v>
      </c>
      <c r="E2404" t="s">
        <v>896</v>
      </c>
      <c r="G2404" t="s">
        <v>2555</v>
      </c>
    </row>
    <row r="2405" spans="1:9" x14ac:dyDescent="0.3">
      <c r="C2405" t="s">
        <v>1814</v>
      </c>
      <c r="E2405" t="s">
        <v>3735</v>
      </c>
      <c r="G2405" t="s">
        <v>3453</v>
      </c>
    </row>
    <row r="2406" spans="1:9" x14ac:dyDescent="0.3">
      <c r="C2406" t="s">
        <v>1815</v>
      </c>
      <c r="E2406" t="s">
        <v>899</v>
      </c>
      <c r="G2406" t="s">
        <v>2558</v>
      </c>
      <c r="I2406" t="s">
        <v>1881</v>
      </c>
    </row>
    <row r="2407" spans="1:9" x14ac:dyDescent="0.3">
      <c r="A2407" t="s">
        <v>2016</v>
      </c>
      <c r="C2407" t="s">
        <v>3422</v>
      </c>
      <c r="E2407" t="s">
        <v>900</v>
      </c>
      <c r="G2407" t="s">
        <v>2559</v>
      </c>
      <c r="I2407" t="s">
        <v>1554</v>
      </c>
    </row>
    <row r="2408" spans="1:9" x14ac:dyDescent="0.3">
      <c r="A2408" t="s">
        <v>1911</v>
      </c>
      <c r="E2408" t="s">
        <v>901</v>
      </c>
      <c r="G2408" t="s">
        <v>2560</v>
      </c>
    </row>
    <row r="2409" spans="1:9" x14ac:dyDescent="0.3">
      <c r="E2409" t="s">
        <v>902</v>
      </c>
      <c r="G2409" t="s">
        <v>2561</v>
      </c>
      <c r="I2409" t="s">
        <v>3239</v>
      </c>
    </row>
    <row r="2410" spans="1:9" x14ac:dyDescent="0.3">
      <c r="A2410" t="s">
        <v>2009</v>
      </c>
      <c r="C2410" t="s">
        <v>1550</v>
      </c>
      <c r="E2410" t="s">
        <v>903</v>
      </c>
      <c r="G2410" t="s">
        <v>2562</v>
      </c>
    </row>
    <row r="2411" spans="1:9" x14ac:dyDescent="0.3">
      <c r="A2411" t="s">
        <v>2010</v>
      </c>
      <c r="C2411" t="s">
        <v>1554</v>
      </c>
      <c r="E2411" t="s">
        <v>904</v>
      </c>
      <c r="G2411" t="s">
        <v>2563</v>
      </c>
      <c r="I2411" t="s">
        <v>1882</v>
      </c>
    </row>
    <row r="2412" spans="1:9" x14ac:dyDescent="0.3">
      <c r="A2412" t="s">
        <v>2011</v>
      </c>
      <c r="E2412" t="s">
        <v>905</v>
      </c>
      <c r="G2412" t="s">
        <v>2564</v>
      </c>
      <c r="I2412" t="s">
        <v>1883</v>
      </c>
    </row>
    <row r="2413" spans="1:9" x14ac:dyDescent="0.3">
      <c r="A2413">
        <v>2</v>
      </c>
      <c r="C2413" t="s">
        <v>3214</v>
      </c>
      <c r="E2413" t="s">
        <v>906</v>
      </c>
      <c r="G2413" t="s">
        <v>2565</v>
      </c>
      <c r="I2413" t="s">
        <v>1884</v>
      </c>
    </row>
    <row r="2414" spans="1:9" x14ac:dyDescent="0.3">
      <c r="A2414" t="s">
        <v>89</v>
      </c>
      <c r="E2414" t="s">
        <v>907</v>
      </c>
      <c r="G2414" t="s">
        <v>2566</v>
      </c>
      <c r="I2414" t="s">
        <v>1885</v>
      </c>
    </row>
    <row r="2415" spans="1:9" x14ac:dyDescent="0.3">
      <c r="A2415" t="s">
        <v>2012</v>
      </c>
      <c r="C2415" t="s">
        <v>1812</v>
      </c>
      <c r="E2415" t="s">
        <v>910</v>
      </c>
      <c r="G2415" t="e">
        <f>- lettera raccomandata o telegramma spediti al domicilio di</f>
        <v>#NAME?</v>
      </c>
      <c r="I2415" t="s">
        <v>1886</v>
      </c>
    </row>
    <row r="2416" spans="1:9" x14ac:dyDescent="0.3">
      <c r="A2416" t="s">
        <v>2013</v>
      </c>
      <c r="C2416" t="s">
        <v>1813</v>
      </c>
      <c r="E2416" t="s">
        <v>911</v>
      </c>
      <c r="G2416" t="s">
        <v>2567</v>
      </c>
    </row>
    <row r="2417" spans="1:9" x14ac:dyDescent="0.3">
      <c r="A2417" t="s">
        <v>2014</v>
      </c>
      <c r="C2417" t="s">
        <v>1814</v>
      </c>
      <c r="E2417" t="s">
        <v>912</v>
      </c>
      <c r="G2417" t="s">
        <v>2568</v>
      </c>
    </row>
    <row r="2418" spans="1:9" x14ac:dyDescent="0.3">
      <c r="A2418" t="s">
        <v>2017</v>
      </c>
      <c r="C2418" t="s">
        <v>1815</v>
      </c>
      <c r="E2418" t="s">
        <v>3736</v>
      </c>
      <c r="G2418" t="s">
        <v>2569</v>
      </c>
      <c r="I2418" t="s">
        <v>1887</v>
      </c>
    </row>
    <row r="2419" spans="1:9" x14ac:dyDescent="0.3">
      <c r="A2419" t="s">
        <v>2018</v>
      </c>
      <c r="C2419" t="s">
        <v>1816</v>
      </c>
      <c r="G2419" t="s">
        <v>2570</v>
      </c>
      <c r="I2419" t="s">
        <v>1554</v>
      </c>
    </row>
    <row r="2420" spans="1:9" x14ac:dyDescent="0.3">
      <c r="A2420" t="s">
        <v>2019</v>
      </c>
      <c r="C2420" t="s">
        <v>1817</v>
      </c>
      <c r="G2420" t="s">
        <v>2571</v>
      </c>
    </row>
    <row r="2421" spans="1:9" x14ac:dyDescent="0.3">
      <c r="A2421" t="s">
        <v>2020</v>
      </c>
      <c r="C2421" t="s">
        <v>1818</v>
      </c>
      <c r="E2421" t="s">
        <v>1733</v>
      </c>
      <c r="G2421" t="s">
        <v>2572</v>
      </c>
      <c r="I2421" t="s">
        <v>3240</v>
      </c>
    </row>
    <row r="2422" spans="1:9" x14ac:dyDescent="0.3">
      <c r="A2422" t="s">
        <v>2021</v>
      </c>
      <c r="C2422" t="s">
        <v>1819</v>
      </c>
      <c r="E2422" t="s">
        <v>1503</v>
      </c>
      <c r="G2422" t="s">
        <v>2573</v>
      </c>
    </row>
    <row r="2423" spans="1:9" x14ac:dyDescent="0.3">
      <c r="A2423" t="s">
        <v>2022</v>
      </c>
      <c r="C2423" t="s">
        <v>1820</v>
      </c>
      <c r="G2423" t="s">
        <v>2574</v>
      </c>
      <c r="I2423" t="s">
        <v>1888</v>
      </c>
    </row>
    <row r="2424" spans="1:9" x14ac:dyDescent="0.3">
      <c r="A2424" t="s">
        <v>2023</v>
      </c>
      <c r="C2424" t="s">
        <v>1821</v>
      </c>
      <c r="E2424" t="s">
        <v>3229</v>
      </c>
      <c r="G2424" t="s">
        <v>2575</v>
      </c>
      <c r="I2424" t="s">
        <v>1889</v>
      </c>
    </row>
    <row r="2425" spans="1:9" x14ac:dyDescent="0.3">
      <c r="A2425" t="s">
        <v>2024</v>
      </c>
      <c r="C2425" t="s">
        <v>1822</v>
      </c>
      <c r="G2425" t="s">
        <v>2576</v>
      </c>
      <c r="I2425" t="s">
        <v>1890</v>
      </c>
    </row>
    <row r="2426" spans="1:9" x14ac:dyDescent="0.3">
      <c r="A2426" t="s">
        <v>2025</v>
      </c>
      <c r="C2426" t="s">
        <v>1825</v>
      </c>
      <c r="E2426" t="s">
        <v>3737</v>
      </c>
      <c r="G2426">
        <v>13</v>
      </c>
      <c r="I2426" t="s">
        <v>1891</v>
      </c>
    </row>
    <row r="2427" spans="1:9" x14ac:dyDescent="0.3">
      <c r="A2427" t="s">
        <v>2026</v>
      </c>
      <c r="C2427" t="s">
        <v>1826</v>
      </c>
      <c r="E2427" t="s">
        <v>89</v>
      </c>
      <c r="G2427" t="s">
        <v>89</v>
      </c>
    </row>
    <row r="2428" spans="1:9" x14ac:dyDescent="0.3">
      <c r="A2428" t="s">
        <v>2027</v>
      </c>
      <c r="C2428" t="s">
        <v>1827</v>
      </c>
      <c r="E2428" t="s">
        <v>915</v>
      </c>
      <c r="G2428" t="s">
        <v>2577</v>
      </c>
    </row>
    <row r="2429" spans="1:9" x14ac:dyDescent="0.3">
      <c r="A2429" t="s">
        <v>2028</v>
      </c>
      <c r="C2429" t="s">
        <v>1828</v>
      </c>
      <c r="E2429" t="s">
        <v>916</v>
      </c>
      <c r="G2429" t="s">
        <v>2578</v>
      </c>
      <c r="I2429" t="s">
        <v>1892</v>
      </c>
    </row>
    <row r="2430" spans="1:9" x14ac:dyDescent="0.3">
      <c r="A2430" t="s">
        <v>2029</v>
      </c>
      <c r="C2430" t="s">
        <v>1829</v>
      </c>
      <c r="E2430" t="s">
        <v>917</v>
      </c>
      <c r="G2430" t="s">
        <v>2579</v>
      </c>
      <c r="I2430" t="s">
        <v>1554</v>
      </c>
    </row>
    <row r="2431" spans="1:9" x14ac:dyDescent="0.3">
      <c r="A2431" t="s">
        <v>2030</v>
      </c>
      <c r="C2431" t="s">
        <v>1830</v>
      </c>
      <c r="E2431" t="s">
        <v>3738</v>
      </c>
    </row>
    <row r="2432" spans="1:9" x14ac:dyDescent="0.3">
      <c r="A2432" t="s">
        <v>2031</v>
      </c>
      <c r="C2432" t="s">
        <v>89</v>
      </c>
      <c r="E2432" t="s">
        <v>3739</v>
      </c>
      <c r="I2432" t="s">
        <v>3241</v>
      </c>
    </row>
    <row r="2433" spans="1:9" x14ac:dyDescent="0.3">
      <c r="A2433" t="s">
        <v>2032</v>
      </c>
      <c r="C2433" t="s">
        <v>1831</v>
      </c>
      <c r="E2433" t="s">
        <v>3740</v>
      </c>
      <c r="G2433" t="s">
        <v>1323</v>
      </c>
    </row>
    <row r="2434" spans="1:9" x14ac:dyDescent="0.3">
      <c r="A2434" t="s">
        <v>2029</v>
      </c>
      <c r="C2434" t="s">
        <v>1832</v>
      </c>
      <c r="E2434" t="s">
        <v>924</v>
      </c>
      <c r="G2434" t="s">
        <v>1911</v>
      </c>
      <c r="I2434" t="s">
        <v>1893</v>
      </c>
    </row>
    <row r="2435" spans="1:9" x14ac:dyDescent="0.3">
      <c r="A2435" t="s">
        <v>2033</v>
      </c>
      <c r="C2435" t="s">
        <v>1833</v>
      </c>
      <c r="E2435" t="s">
        <v>3741</v>
      </c>
      <c r="I2435" t="s">
        <v>1894</v>
      </c>
    </row>
    <row r="2436" spans="1:9" x14ac:dyDescent="0.3">
      <c r="A2436" t="s">
        <v>2034</v>
      </c>
      <c r="E2436" t="s">
        <v>928</v>
      </c>
      <c r="G2436" t="s">
        <v>3198</v>
      </c>
      <c r="I2436" t="s">
        <v>1895</v>
      </c>
    </row>
    <row r="2437" spans="1:9" x14ac:dyDescent="0.3">
      <c r="A2437" t="s">
        <v>2035</v>
      </c>
      <c r="E2437" t="s">
        <v>3742</v>
      </c>
      <c r="I2437" t="s">
        <v>1896</v>
      </c>
    </row>
    <row r="2438" spans="1:9" x14ac:dyDescent="0.3">
      <c r="A2438" t="s">
        <v>2029</v>
      </c>
      <c r="C2438" t="s">
        <v>1552</v>
      </c>
      <c r="G2438" t="s">
        <v>2574</v>
      </c>
    </row>
    <row r="2439" spans="1:9" x14ac:dyDescent="0.3">
      <c r="A2439" t="s">
        <v>2036</v>
      </c>
      <c r="C2439" t="s">
        <v>1554</v>
      </c>
      <c r="G2439" t="s">
        <v>2575</v>
      </c>
    </row>
    <row r="2440" spans="1:9" x14ac:dyDescent="0.3">
      <c r="A2440" t="s">
        <v>2037</v>
      </c>
      <c r="E2440" t="s">
        <v>1751</v>
      </c>
      <c r="G2440" t="s">
        <v>2576</v>
      </c>
      <c r="I2440" t="s">
        <v>1897</v>
      </c>
    </row>
    <row r="2441" spans="1:9" x14ac:dyDescent="0.3">
      <c r="A2441" t="s">
        <v>2038</v>
      </c>
      <c r="C2441" t="s">
        <v>3215</v>
      </c>
      <c r="E2441" t="s">
        <v>1503</v>
      </c>
      <c r="G2441">
        <v>13</v>
      </c>
      <c r="I2441" t="s">
        <v>1554</v>
      </c>
    </row>
    <row r="2442" spans="1:9" x14ac:dyDescent="0.3">
      <c r="A2442" t="s">
        <v>2035</v>
      </c>
      <c r="G2442" t="s">
        <v>89</v>
      </c>
    </row>
    <row r="2443" spans="1:9" x14ac:dyDescent="0.3">
      <c r="A2443" t="s">
        <v>2039</v>
      </c>
      <c r="C2443" t="s">
        <v>1830</v>
      </c>
      <c r="E2443" t="s">
        <v>3230</v>
      </c>
      <c r="G2443" t="s">
        <v>2577</v>
      </c>
      <c r="I2443" t="s">
        <v>3242</v>
      </c>
    </row>
    <row r="2444" spans="1:9" x14ac:dyDescent="0.3">
      <c r="A2444" t="s">
        <v>2040</v>
      </c>
      <c r="C2444" t="s">
        <v>89</v>
      </c>
      <c r="G2444" t="s">
        <v>2578</v>
      </c>
    </row>
    <row r="2445" spans="1:9" x14ac:dyDescent="0.3">
      <c r="A2445" t="s">
        <v>2041</v>
      </c>
      <c r="C2445" t="s">
        <v>1831</v>
      </c>
      <c r="E2445" t="s">
        <v>930</v>
      </c>
      <c r="G2445" t="s">
        <v>2579</v>
      </c>
      <c r="I2445" t="s">
        <v>1898</v>
      </c>
    </row>
    <row r="2446" spans="1:9" x14ac:dyDescent="0.3">
      <c r="A2446" t="s">
        <v>2042</v>
      </c>
      <c r="C2446" t="s">
        <v>1832</v>
      </c>
      <c r="E2446" t="s">
        <v>931</v>
      </c>
      <c r="G2446" t="s">
        <v>2580</v>
      </c>
      <c r="I2446" t="s">
        <v>1899</v>
      </c>
    </row>
    <row r="2447" spans="1:9" x14ac:dyDescent="0.3">
      <c r="A2447" t="s">
        <v>2043</v>
      </c>
      <c r="C2447" t="s">
        <v>1833</v>
      </c>
      <c r="E2447" t="s">
        <v>934</v>
      </c>
      <c r="G2447" t="s">
        <v>2581</v>
      </c>
      <c r="I2447" t="s">
        <v>1900</v>
      </c>
    </row>
    <row r="2448" spans="1:9" x14ac:dyDescent="0.3">
      <c r="A2448" t="s">
        <v>2044</v>
      </c>
      <c r="C2448" t="s">
        <v>1834</v>
      </c>
      <c r="E2448" t="s">
        <v>935</v>
      </c>
      <c r="G2448" t="s">
        <v>2582</v>
      </c>
      <c r="I2448" t="s">
        <v>1901</v>
      </c>
    </row>
    <row r="2449" spans="1:9" x14ac:dyDescent="0.3">
      <c r="C2449" t="s">
        <v>1835</v>
      </c>
      <c r="E2449" t="s">
        <v>936</v>
      </c>
      <c r="G2449" t="s">
        <v>2583</v>
      </c>
      <c r="I2449" t="s">
        <v>1902</v>
      </c>
    </row>
    <row r="2450" spans="1:9" x14ac:dyDescent="0.3">
      <c r="C2450" t="s">
        <v>1836</v>
      </c>
      <c r="E2450" t="s">
        <v>937</v>
      </c>
      <c r="G2450" t="s">
        <v>2584</v>
      </c>
      <c r="I2450" t="s">
        <v>1903</v>
      </c>
    </row>
    <row r="2451" spans="1:9" x14ac:dyDescent="0.3">
      <c r="A2451" t="s">
        <v>2045</v>
      </c>
      <c r="C2451" t="s">
        <v>1837</v>
      </c>
      <c r="E2451" t="s">
        <v>938</v>
      </c>
      <c r="G2451" t="s">
        <v>2585</v>
      </c>
      <c r="I2451" t="s">
        <v>1904</v>
      </c>
    </row>
    <row r="2452" spans="1:9" x14ac:dyDescent="0.3">
      <c r="A2452" t="s">
        <v>1911</v>
      </c>
      <c r="C2452" t="s">
        <v>1838</v>
      </c>
      <c r="E2452" t="s">
        <v>939</v>
      </c>
      <c r="G2452" t="s">
        <v>2586</v>
      </c>
      <c r="I2452" t="s">
        <v>1905</v>
      </c>
    </row>
    <row r="2453" spans="1:9" x14ac:dyDescent="0.3">
      <c r="C2453" t="s">
        <v>1839</v>
      </c>
      <c r="E2453" t="s">
        <v>940</v>
      </c>
      <c r="G2453" t="s">
        <v>2587</v>
      </c>
      <c r="I2453" t="s">
        <v>1906</v>
      </c>
    </row>
    <row r="2454" spans="1:9" x14ac:dyDescent="0.3">
      <c r="A2454" t="s">
        <v>2038</v>
      </c>
      <c r="C2454" t="s">
        <v>1840</v>
      </c>
      <c r="E2454" t="s">
        <v>941</v>
      </c>
      <c r="G2454" t="s">
        <v>2590</v>
      </c>
      <c r="I2454" t="s">
        <v>1907</v>
      </c>
    </row>
    <row r="2455" spans="1:9" x14ac:dyDescent="0.3">
      <c r="A2455" t="s">
        <v>2035</v>
      </c>
      <c r="C2455" t="s">
        <v>1842</v>
      </c>
      <c r="E2455" t="s">
        <v>942</v>
      </c>
      <c r="G2455" t="s">
        <v>2591</v>
      </c>
      <c r="I2455" t="s">
        <v>1908</v>
      </c>
    </row>
    <row r="2456" spans="1:9" x14ac:dyDescent="0.3">
      <c r="A2456" t="s">
        <v>2039</v>
      </c>
      <c r="C2456" t="s">
        <v>1843</v>
      </c>
      <c r="E2456" t="s">
        <v>943</v>
      </c>
      <c r="G2456" t="s">
        <v>2592</v>
      </c>
      <c r="I2456" t="s">
        <v>89</v>
      </c>
    </row>
    <row r="2457" spans="1:9" x14ac:dyDescent="0.3">
      <c r="A2457" t="s">
        <v>2040</v>
      </c>
      <c r="C2457" t="s">
        <v>1844</v>
      </c>
      <c r="E2457" t="s">
        <v>944</v>
      </c>
      <c r="G2457" t="s">
        <v>2593</v>
      </c>
      <c r="I2457" t="s">
        <v>1909</v>
      </c>
    </row>
    <row r="2458" spans="1:9" x14ac:dyDescent="0.3">
      <c r="A2458" t="s">
        <v>2041</v>
      </c>
      <c r="C2458" t="s">
        <v>1845</v>
      </c>
      <c r="E2458" t="s">
        <v>3743</v>
      </c>
      <c r="G2458" t="s">
        <v>2594</v>
      </c>
    </row>
    <row r="2459" spans="1:9" x14ac:dyDescent="0.3">
      <c r="A2459" t="s">
        <v>2042</v>
      </c>
      <c r="C2459" t="s">
        <v>1846</v>
      </c>
      <c r="E2459" t="s">
        <v>947</v>
      </c>
      <c r="G2459" t="s">
        <v>2595</v>
      </c>
    </row>
    <row r="2460" spans="1:9" x14ac:dyDescent="0.3">
      <c r="A2460" t="s">
        <v>2043</v>
      </c>
      <c r="C2460" t="s">
        <v>1847</v>
      </c>
      <c r="E2460" t="s">
        <v>3744</v>
      </c>
      <c r="G2460" t="s">
        <v>2596</v>
      </c>
      <c r="I2460" t="s">
        <v>1910</v>
      </c>
    </row>
    <row r="2461" spans="1:9" x14ac:dyDescent="0.3">
      <c r="A2461" t="s">
        <v>2044</v>
      </c>
      <c r="C2461" t="s">
        <v>1848</v>
      </c>
      <c r="E2461" t="s">
        <v>951</v>
      </c>
      <c r="G2461" t="s">
        <v>2597</v>
      </c>
      <c r="I2461" t="s">
        <v>1911</v>
      </c>
    </row>
    <row r="2462" spans="1:9" x14ac:dyDescent="0.3">
      <c r="A2462" t="s">
        <v>2046</v>
      </c>
      <c r="C2462" t="s">
        <v>1849</v>
      </c>
      <c r="E2462" t="s">
        <v>3745</v>
      </c>
      <c r="G2462" t="s">
        <v>2598</v>
      </c>
    </row>
    <row r="2463" spans="1:9" x14ac:dyDescent="0.3">
      <c r="A2463" t="s">
        <v>2047</v>
      </c>
      <c r="C2463" t="s">
        <v>3423</v>
      </c>
      <c r="E2463" t="s">
        <v>954</v>
      </c>
      <c r="G2463" t="s">
        <v>2599</v>
      </c>
      <c r="I2463" t="s">
        <v>3243</v>
      </c>
    </row>
    <row r="2464" spans="1:9" x14ac:dyDescent="0.3">
      <c r="A2464" t="s">
        <v>2048</v>
      </c>
      <c r="E2464" t="s">
        <v>955</v>
      </c>
      <c r="G2464" t="s">
        <v>2600</v>
      </c>
    </row>
    <row r="2465" spans="1:9" x14ac:dyDescent="0.3">
      <c r="A2465" t="s">
        <v>2049</v>
      </c>
      <c r="E2465" t="s">
        <v>3746</v>
      </c>
      <c r="G2465" t="s">
        <v>2601</v>
      </c>
      <c r="I2465" t="s">
        <v>1912</v>
      </c>
    </row>
    <row r="2466" spans="1:9" x14ac:dyDescent="0.3">
      <c r="A2466" t="s">
        <v>2050</v>
      </c>
      <c r="C2466" t="s">
        <v>1553</v>
      </c>
      <c r="G2466" t="s">
        <v>2602</v>
      </c>
      <c r="I2466" t="s">
        <v>1913</v>
      </c>
    </row>
    <row r="2467" spans="1:9" ht="28.8" x14ac:dyDescent="0.3">
      <c r="A2467" t="s">
        <v>2051</v>
      </c>
      <c r="C2467" t="s">
        <v>1554</v>
      </c>
      <c r="G2467" t="s">
        <v>2603</v>
      </c>
      <c r="I2467" s="9" t="s">
        <v>1914</v>
      </c>
    </row>
    <row r="2468" spans="1:9" x14ac:dyDescent="0.3">
      <c r="A2468" t="s">
        <v>2052</v>
      </c>
      <c r="E2468" t="s">
        <v>1767</v>
      </c>
      <c r="G2468" t="s">
        <v>2604</v>
      </c>
      <c r="I2468" t="s">
        <v>1915</v>
      </c>
    </row>
    <row r="2469" spans="1:9" x14ac:dyDescent="0.3">
      <c r="A2469" t="s">
        <v>2053</v>
      </c>
      <c r="C2469" t="s">
        <v>3216</v>
      </c>
      <c r="E2469" t="s">
        <v>1503</v>
      </c>
      <c r="G2469" t="s">
        <v>3454</v>
      </c>
    </row>
    <row r="2470" spans="1:9" x14ac:dyDescent="0.3">
      <c r="A2470" t="s">
        <v>2054</v>
      </c>
      <c r="G2470" t="s">
        <v>2607</v>
      </c>
    </row>
    <row r="2471" spans="1:9" x14ac:dyDescent="0.3">
      <c r="A2471" t="s">
        <v>2055</v>
      </c>
      <c r="C2471" t="s">
        <v>1846</v>
      </c>
      <c r="E2471" t="s">
        <v>3231</v>
      </c>
      <c r="G2471" t="s">
        <v>2608</v>
      </c>
      <c r="I2471" t="s">
        <v>1916</v>
      </c>
    </row>
    <row r="2472" spans="1:9" x14ac:dyDescent="0.3">
      <c r="A2472" t="s">
        <v>2056</v>
      </c>
      <c r="C2472" t="s">
        <v>1847</v>
      </c>
      <c r="G2472" t="s">
        <v>2609</v>
      </c>
      <c r="I2472" t="s">
        <v>1911</v>
      </c>
    </row>
    <row r="2473" spans="1:9" x14ac:dyDescent="0.3">
      <c r="A2473" t="s">
        <v>2057</v>
      </c>
      <c r="C2473" t="s">
        <v>1848</v>
      </c>
      <c r="E2473" t="s">
        <v>3747</v>
      </c>
      <c r="G2473" t="s">
        <v>2610</v>
      </c>
    </row>
    <row r="2474" spans="1:9" x14ac:dyDescent="0.3">
      <c r="A2474" t="s">
        <v>2058</v>
      </c>
      <c r="C2474" t="s">
        <v>1849</v>
      </c>
      <c r="E2474" t="s">
        <v>960</v>
      </c>
      <c r="G2474" t="s">
        <v>2611</v>
      </c>
      <c r="I2474" t="s">
        <v>3244</v>
      </c>
    </row>
    <row r="2475" spans="1:9" x14ac:dyDescent="0.3">
      <c r="A2475" t="s">
        <v>2059</v>
      </c>
      <c r="C2475" t="s">
        <v>1850</v>
      </c>
      <c r="E2475" t="s">
        <v>961</v>
      </c>
      <c r="G2475" t="s">
        <v>2612</v>
      </c>
    </row>
    <row r="2476" spans="1:9" x14ac:dyDescent="0.3">
      <c r="A2476" t="s">
        <v>2060</v>
      </c>
      <c r="C2476" t="s">
        <v>1851</v>
      </c>
      <c r="E2476" t="s">
        <v>3748</v>
      </c>
      <c r="I2476" t="s">
        <v>1917</v>
      </c>
    </row>
    <row r="2477" spans="1:9" x14ac:dyDescent="0.3">
      <c r="A2477" t="s">
        <v>2061</v>
      </c>
      <c r="C2477" t="s">
        <v>1852</v>
      </c>
      <c r="E2477" t="s">
        <v>964</v>
      </c>
      <c r="I2477" t="s">
        <v>1918</v>
      </c>
    </row>
    <row r="2478" spans="1:9" x14ac:dyDescent="0.3">
      <c r="A2478">
        <v>3</v>
      </c>
      <c r="C2478" t="s">
        <v>1853</v>
      </c>
      <c r="E2478" t="s">
        <v>965</v>
      </c>
      <c r="G2478" t="s">
        <v>1333</v>
      </c>
      <c r="I2478" t="s">
        <v>1919</v>
      </c>
    </row>
    <row r="2479" spans="1:9" x14ac:dyDescent="0.3">
      <c r="A2479" t="s">
        <v>89</v>
      </c>
      <c r="C2479" t="s">
        <v>1854</v>
      </c>
      <c r="E2479" t="s">
        <v>3749</v>
      </c>
      <c r="G2479" t="s">
        <v>1911</v>
      </c>
      <c r="I2479" t="s">
        <v>1920</v>
      </c>
    </row>
    <row r="2480" spans="1:9" x14ac:dyDescent="0.3">
      <c r="A2480" t="s">
        <v>2062</v>
      </c>
      <c r="C2480" t="s">
        <v>1855</v>
      </c>
      <c r="E2480" t="s">
        <v>968</v>
      </c>
      <c r="I2480" t="s">
        <v>1921</v>
      </c>
    </row>
    <row r="2481" spans="1:9" x14ac:dyDescent="0.3">
      <c r="A2481" t="s">
        <v>2063</v>
      </c>
      <c r="C2481" t="s">
        <v>1856</v>
      </c>
      <c r="E2481" t="s">
        <v>969</v>
      </c>
      <c r="G2481" t="s">
        <v>3199</v>
      </c>
    </row>
    <row r="2482" spans="1:9" x14ac:dyDescent="0.3">
      <c r="A2482" t="s">
        <v>2064</v>
      </c>
      <c r="C2482" t="s">
        <v>1857</v>
      </c>
      <c r="E2482" t="s">
        <v>3750</v>
      </c>
    </row>
    <row r="2483" spans="1:9" x14ac:dyDescent="0.3">
      <c r="A2483" t="s">
        <v>2065</v>
      </c>
      <c r="C2483" t="s">
        <v>1858</v>
      </c>
      <c r="E2483" t="s">
        <v>972</v>
      </c>
      <c r="G2483" t="s">
        <v>3454</v>
      </c>
      <c r="I2483" t="s">
        <v>1922</v>
      </c>
    </row>
    <row r="2484" spans="1:9" x14ac:dyDescent="0.3">
      <c r="A2484" t="s">
        <v>2066</v>
      </c>
      <c r="C2484" t="s">
        <v>1861</v>
      </c>
      <c r="E2484" t="s">
        <v>3751</v>
      </c>
      <c r="G2484" t="s">
        <v>2607</v>
      </c>
      <c r="I2484" t="s">
        <v>1911</v>
      </c>
    </row>
    <row r="2485" spans="1:9" x14ac:dyDescent="0.3">
      <c r="A2485" t="s">
        <v>2067</v>
      </c>
      <c r="C2485" t="s">
        <v>1862</v>
      </c>
      <c r="E2485" t="s">
        <v>974</v>
      </c>
      <c r="G2485" t="s">
        <v>2608</v>
      </c>
    </row>
    <row r="2486" spans="1:9" x14ac:dyDescent="0.3">
      <c r="A2486" t="s">
        <v>2068</v>
      </c>
      <c r="C2486" t="s">
        <v>1863</v>
      </c>
      <c r="E2486" t="s">
        <v>975</v>
      </c>
      <c r="G2486" t="s">
        <v>2609</v>
      </c>
      <c r="I2486" t="s">
        <v>3245</v>
      </c>
    </row>
    <row r="2487" spans="1:9" x14ac:dyDescent="0.3">
      <c r="A2487" t="s">
        <v>2069</v>
      </c>
      <c r="C2487" t="s">
        <v>3424</v>
      </c>
      <c r="E2487" t="s">
        <v>976</v>
      </c>
      <c r="G2487" t="s">
        <v>2610</v>
      </c>
    </row>
    <row r="2488" spans="1:9" x14ac:dyDescent="0.3">
      <c r="A2488" t="s">
        <v>2070</v>
      </c>
      <c r="C2488" t="s">
        <v>1866</v>
      </c>
      <c r="E2488" t="s">
        <v>977</v>
      </c>
      <c r="G2488" t="s">
        <v>2611</v>
      </c>
      <c r="I2488" t="s">
        <v>1923</v>
      </c>
    </row>
    <row r="2489" spans="1:9" x14ac:dyDescent="0.3">
      <c r="A2489" t="s">
        <v>2071</v>
      </c>
      <c r="C2489" t="s">
        <v>1867</v>
      </c>
      <c r="E2489" t="s">
        <v>3752</v>
      </c>
      <c r="G2489" t="s">
        <v>2612</v>
      </c>
      <c r="I2489" t="s">
        <v>1924</v>
      </c>
    </row>
    <row r="2490" spans="1:9" x14ac:dyDescent="0.3">
      <c r="C2490" t="s">
        <v>1868</v>
      </c>
      <c r="E2490" t="s">
        <v>3753</v>
      </c>
      <c r="G2490" t="s">
        <v>2613</v>
      </c>
      <c r="I2490" t="s">
        <v>1925</v>
      </c>
    </row>
    <row r="2491" spans="1:9" x14ac:dyDescent="0.3">
      <c r="C2491" t="s">
        <v>1869</v>
      </c>
      <c r="G2491" t="s">
        <v>3455</v>
      </c>
      <c r="I2491" t="s">
        <v>1926</v>
      </c>
    </row>
    <row r="2492" spans="1:9" x14ac:dyDescent="0.3">
      <c r="A2492" t="s">
        <v>2072</v>
      </c>
      <c r="C2492" t="s">
        <v>3425</v>
      </c>
      <c r="G2492" t="s">
        <v>2616</v>
      </c>
      <c r="I2492" t="s">
        <v>1927</v>
      </c>
    </row>
    <row r="2493" spans="1:9" x14ac:dyDescent="0.3">
      <c r="A2493" t="s">
        <v>1911</v>
      </c>
      <c r="C2493" t="s">
        <v>3426</v>
      </c>
      <c r="E2493" t="s">
        <v>1790</v>
      </c>
      <c r="G2493" t="s">
        <v>2617</v>
      </c>
      <c r="I2493" t="s">
        <v>1928</v>
      </c>
    </row>
    <row r="2494" spans="1:9" x14ac:dyDescent="0.3">
      <c r="E2494" t="s">
        <v>1503</v>
      </c>
      <c r="G2494" t="s">
        <v>2618</v>
      </c>
      <c r="I2494" t="s">
        <v>1929</v>
      </c>
    </row>
    <row r="2495" spans="1:9" x14ac:dyDescent="0.3">
      <c r="A2495" t="s">
        <v>2064</v>
      </c>
      <c r="G2495" t="s">
        <v>2619</v>
      </c>
      <c r="I2495" t="s">
        <v>1930</v>
      </c>
    </row>
    <row r="2496" spans="1:9" x14ac:dyDescent="0.3">
      <c r="A2496" t="s">
        <v>2065</v>
      </c>
      <c r="C2496" t="s">
        <v>1557</v>
      </c>
      <c r="E2496" t="s">
        <v>3232</v>
      </c>
      <c r="G2496" t="s">
        <v>2620</v>
      </c>
      <c r="I2496" t="s">
        <v>1931</v>
      </c>
    </row>
    <row r="2497" spans="1:9" x14ac:dyDescent="0.3">
      <c r="A2497" t="s">
        <v>2066</v>
      </c>
      <c r="C2497" t="s">
        <v>1554</v>
      </c>
      <c r="G2497" t="s">
        <v>2621</v>
      </c>
      <c r="I2497" t="s">
        <v>1932</v>
      </c>
    </row>
    <row r="2498" spans="1:9" x14ac:dyDescent="0.3">
      <c r="A2498" t="s">
        <v>2067</v>
      </c>
      <c r="E2498" t="s">
        <v>3754</v>
      </c>
      <c r="G2498" t="s">
        <v>2622</v>
      </c>
      <c r="I2498" t="s">
        <v>1933</v>
      </c>
    </row>
    <row r="2499" spans="1:9" x14ac:dyDescent="0.3">
      <c r="A2499" t="s">
        <v>2068</v>
      </c>
      <c r="C2499" t="s">
        <v>3217</v>
      </c>
      <c r="E2499" t="s">
        <v>983</v>
      </c>
      <c r="G2499" t="e">
        <f>- a ciascuno degli amministratori disgiuntamente in caso di</f>
        <v>#NAME?</v>
      </c>
      <c r="I2499" t="s">
        <v>1934</v>
      </c>
    </row>
    <row r="2500" spans="1:9" x14ac:dyDescent="0.3">
      <c r="A2500" t="s">
        <v>2069</v>
      </c>
      <c r="E2500" t="s">
        <v>984</v>
      </c>
      <c r="G2500" t="s">
        <v>2623</v>
      </c>
      <c r="I2500" t="s">
        <v>1935</v>
      </c>
    </row>
    <row r="2501" spans="1:9" x14ac:dyDescent="0.3">
      <c r="A2501" t="s">
        <v>2070</v>
      </c>
      <c r="C2501" t="s">
        <v>1868</v>
      </c>
      <c r="E2501" t="s">
        <v>3755</v>
      </c>
      <c r="G2501" t="s">
        <v>2624</v>
      </c>
      <c r="I2501" t="s">
        <v>1936</v>
      </c>
    </row>
    <row r="2502" spans="1:9" x14ac:dyDescent="0.3">
      <c r="A2502" t="s">
        <v>2071</v>
      </c>
      <c r="C2502" t="s">
        <v>1869</v>
      </c>
      <c r="E2502" t="s">
        <v>987</v>
      </c>
      <c r="G2502" t="s">
        <v>2625</v>
      </c>
      <c r="I2502" t="s">
        <v>1937</v>
      </c>
    </row>
    <row r="2503" spans="1:9" x14ac:dyDescent="0.3">
      <c r="A2503" t="s">
        <v>2073</v>
      </c>
      <c r="C2503" t="s">
        <v>3425</v>
      </c>
      <c r="E2503" t="s">
        <v>988</v>
      </c>
      <c r="G2503" t="s">
        <v>2626</v>
      </c>
      <c r="I2503" t="s">
        <v>1938</v>
      </c>
    </row>
    <row r="2504" spans="1:9" x14ac:dyDescent="0.3">
      <c r="A2504" t="s">
        <v>2074</v>
      </c>
      <c r="C2504" t="s">
        <v>1872</v>
      </c>
      <c r="E2504" t="s">
        <v>3756</v>
      </c>
      <c r="G2504" t="s">
        <v>3456</v>
      </c>
    </row>
    <row r="2505" spans="1:9" x14ac:dyDescent="0.3">
      <c r="A2505" t="s">
        <v>2075</v>
      </c>
      <c r="C2505" t="s">
        <v>89</v>
      </c>
      <c r="E2505" t="s">
        <v>991</v>
      </c>
      <c r="G2505" t="s">
        <v>2629</v>
      </c>
    </row>
    <row r="2506" spans="1:9" x14ac:dyDescent="0.3">
      <c r="A2506" t="e">
        <f>- la società si propone di realizzare il fine sociale anche</f>
        <v>#NAME?</v>
      </c>
      <c r="C2506" t="s">
        <v>1873</v>
      </c>
      <c r="E2506" t="s">
        <v>992</v>
      </c>
      <c r="G2506" t="s">
        <v>2630</v>
      </c>
      <c r="I2506" t="s">
        <v>1939</v>
      </c>
    </row>
    <row r="2507" spans="1:9" x14ac:dyDescent="0.3">
      <c r="A2507" t="s">
        <v>2076</v>
      </c>
      <c r="C2507" t="s">
        <v>1874</v>
      </c>
      <c r="E2507" t="s">
        <v>3757</v>
      </c>
      <c r="G2507">
        <v>14</v>
      </c>
      <c r="I2507" t="s">
        <v>1911</v>
      </c>
    </row>
    <row r="2508" spans="1:9" x14ac:dyDescent="0.3">
      <c r="A2508" t="s">
        <v>2077</v>
      </c>
      <c r="C2508" t="s">
        <v>1875</v>
      </c>
      <c r="E2508" t="s">
        <v>3758</v>
      </c>
      <c r="G2508" t="s">
        <v>89</v>
      </c>
    </row>
    <row r="2509" spans="1:9" x14ac:dyDescent="0.3">
      <c r="A2509" t="s">
        <v>2078</v>
      </c>
      <c r="C2509" t="s">
        <v>1876</v>
      </c>
      <c r="E2509" t="s">
        <v>997</v>
      </c>
      <c r="G2509" t="s">
        <v>2631</v>
      </c>
      <c r="I2509" t="s">
        <v>3246</v>
      </c>
    </row>
    <row r="2510" spans="1:9" x14ac:dyDescent="0.3">
      <c r="A2510" t="s">
        <v>2079</v>
      </c>
      <c r="C2510" t="s">
        <v>1877</v>
      </c>
      <c r="E2510" t="s">
        <v>998</v>
      </c>
      <c r="G2510" t="s">
        <v>2632</v>
      </c>
    </row>
    <row r="2511" spans="1:9" x14ac:dyDescent="0.3">
      <c r="A2511" t="s">
        <v>2080</v>
      </c>
      <c r="C2511" t="s">
        <v>1878</v>
      </c>
      <c r="E2511" t="s">
        <v>1001</v>
      </c>
      <c r="G2511" t="s">
        <v>2633</v>
      </c>
      <c r="I2511" t="s">
        <v>1940</v>
      </c>
    </row>
    <row r="2512" spans="1:9" x14ac:dyDescent="0.3">
      <c r="A2512" t="s">
        <v>2081</v>
      </c>
      <c r="C2512" t="s">
        <v>1879</v>
      </c>
      <c r="E2512" t="s">
        <v>1002</v>
      </c>
      <c r="G2512" t="s">
        <v>2634</v>
      </c>
      <c r="I2512" t="s">
        <v>1941</v>
      </c>
    </row>
    <row r="2513" spans="1:9" x14ac:dyDescent="0.3">
      <c r="A2513" t="s">
        <v>2082</v>
      </c>
      <c r="C2513" t="s">
        <v>3427</v>
      </c>
      <c r="E2513" t="s">
        <v>1517</v>
      </c>
      <c r="G2513" t="s">
        <v>2635</v>
      </c>
      <c r="I2513" t="s">
        <v>1942</v>
      </c>
    </row>
    <row r="2514" spans="1:9" x14ac:dyDescent="0.3">
      <c r="A2514" t="s">
        <v>2083</v>
      </c>
      <c r="C2514" t="s">
        <v>1882</v>
      </c>
      <c r="G2514" t="s">
        <v>2636</v>
      </c>
      <c r="I2514" t="e">
        <f>- installazione e manutenzione: impianti elettrici e impianti</f>
        <v>#NAME?</v>
      </c>
    </row>
    <row r="2515" spans="1:9" x14ac:dyDescent="0.3">
      <c r="A2515" t="s">
        <v>2084</v>
      </c>
      <c r="C2515" t="s">
        <v>1883</v>
      </c>
      <c r="G2515" t="s">
        <v>2637</v>
      </c>
      <c r="I2515" t="s">
        <v>1943</v>
      </c>
    </row>
    <row r="2516" spans="1:9" x14ac:dyDescent="0.3">
      <c r="A2516" t="s">
        <v>2085</v>
      </c>
      <c r="C2516" t="s">
        <v>1884</v>
      </c>
      <c r="E2516" t="s">
        <v>1808</v>
      </c>
      <c r="G2516" t="s">
        <v>2638</v>
      </c>
      <c r="I2516" t="s">
        <v>1944</v>
      </c>
    </row>
    <row r="2517" spans="1:9" x14ac:dyDescent="0.3">
      <c r="A2517" t="s">
        <v>2086</v>
      </c>
      <c r="C2517" t="s">
        <v>1885</v>
      </c>
      <c r="E2517" t="s">
        <v>1503</v>
      </c>
      <c r="G2517" t="s">
        <v>2639</v>
      </c>
      <c r="I2517" t="s">
        <v>1945</v>
      </c>
    </row>
    <row r="2518" spans="1:9" x14ac:dyDescent="0.3">
      <c r="A2518" t="s">
        <v>2087</v>
      </c>
      <c r="C2518" t="s">
        <v>3428</v>
      </c>
      <c r="G2518" t="s">
        <v>2640</v>
      </c>
      <c r="I2518" t="s">
        <v>1946</v>
      </c>
    </row>
    <row r="2519" spans="1:9" x14ac:dyDescent="0.3">
      <c r="A2519" t="s">
        <v>2088</v>
      </c>
      <c r="C2519" t="s">
        <v>1888</v>
      </c>
      <c r="E2519" t="s">
        <v>3233</v>
      </c>
      <c r="G2519" t="s">
        <v>3457</v>
      </c>
      <c r="I2519" t="s">
        <v>1947</v>
      </c>
    </row>
    <row r="2520" spans="1:9" x14ac:dyDescent="0.3">
      <c r="A2520" t="s">
        <v>2089</v>
      </c>
      <c r="C2520" t="s">
        <v>1889</v>
      </c>
      <c r="G2520" t="s">
        <v>2643</v>
      </c>
      <c r="I2520" t="s">
        <v>1948</v>
      </c>
    </row>
    <row r="2521" spans="1:9" x14ac:dyDescent="0.3">
      <c r="A2521" t="s">
        <v>2090</v>
      </c>
      <c r="E2521" t="s">
        <v>1004</v>
      </c>
      <c r="G2521" t="s">
        <v>2644</v>
      </c>
      <c r="I2521" t="s">
        <v>1949</v>
      </c>
    </row>
    <row r="2522" spans="1:9" x14ac:dyDescent="0.3">
      <c r="A2522" t="s">
        <v>2091</v>
      </c>
      <c r="E2522" t="s">
        <v>1005</v>
      </c>
      <c r="G2522" t="s">
        <v>2645</v>
      </c>
      <c r="I2522" t="s">
        <v>1950</v>
      </c>
    </row>
    <row r="2523" spans="1:9" x14ac:dyDescent="0.3">
      <c r="A2523" t="s">
        <v>2092</v>
      </c>
      <c r="C2523" t="s">
        <v>1577</v>
      </c>
      <c r="E2523" t="s">
        <v>1006</v>
      </c>
      <c r="G2523" t="s">
        <v>2646</v>
      </c>
      <c r="I2523" t="s">
        <v>1951</v>
      </c>
    </row>
    <row r="2524" spans="1:9" x14ac:dyDescent="0.3">
      <c r="A2524" t="s">
        <v>2093</v>
      </c>
      <c r="C2524" t="s">
        <v>1554</v>
      </c>
      <c r="E2524" t="s">
        <v>3759</v>
      </c>
      <c r="G2524" t="s">
        <v>2647</v>
      </c>
      <c r="I2524" t="s">
        <v>1952</v>
      </c>
    </row>
    <row r="2525" spans="1:9" x14ac:dyDescent="0.3">
      <c r="A2525" t="s">
        <v>2094</v>
      </c>
      <c r="E2525" t="s">
        <v>1009</v>
      </c>
      <c r="G2525" t="s">
        <v>3968</v>
      </c>
      <c r="I2525" t="s">
        <v>1953</v>
      </c>
    </row>
    <row r="2526" spans="1:9" x14ac:dyDescent="0.3">
      <c r="A2526" t="s">
        <v>2095</v>
      </c>
      <c r="C2526" t="s">
        <v>3218</v>
      </c>
      <c r="E2526" t="s">
        <v>1010</v>
      </c>
      <c r="I2526" t="s">
        <v>1954</v>
      </c>
    </row>
    <row r="2527" spans="1:9" x14ac:dyDescent="0.3">
      <c r="E2527" t="s">
        <v>1011</v>
      </c>
      <c r="I2527" t="s">
        <v>1955</v>
      </c>
    </row>
    <row r="2528" spans="1:9" x14ac:dyDescent="0.3">
      <c r="C2528" t="s">
        <v>1883</v>
      </c>
      <c r="E2528" t="s">
        <v>1012</v>
      </c>
      <c r="G2528" t="s">
        <v>1522</v>
      </c>
      <c r="I2528" t="s">
        <v>1956</v>
      </c>
    </row>
    <row r="2529" spans="1:9" x14ac:dyDescent="0.3">
      <c r="A2529" t="s">
        <v>2096</v>
      </c>
      <c r="C2529" t="s">
        <v>1884</v>
      </c>
      <c r="E2529" t="s">
        <v>3760</v>
      </c>
      <c r="G2529" t="s">
        <v>1911</v>
      </c>
      <c r="I2529" t="s">
        <v>1957</v>
      </c>
    </row>
    <row r="2530" spans="1:9" x14ac:dyDescent="0.3">
      <c r="A2530" t="s">
        <v>1911</v>
      </c>
      <c r="C2530" t="s">
        <v>1885</v>
      </c>
      <c r="E2530" t="s">
        <v>1015</v>
      </c>
      <c r="I2530" t="s">
        <v>1958</v>
      </c>
    </row>
    <row r="2531" spans="1:9" x14ac:dyDescent="0.3">
      <c r="C2531" t="s">
        <v>3428</v>
      </c>
      <c r="E2531" t="s">
        <v>1016</v>
      </c>
      <c r="G2531" t="s">
        <v>3200</v>
      </c>
      <c r="I2531" t="s">
        <v>1959</v>
      </c>
    </row>
    <row r="2532" spans="1:9" x14ac:dyDescent="0.3">
      <c r="A2532" t="s">
        <v>2097</v>
      </c>
      <c r="C2532" t="s">
        <v>1888</v>
      </c>
      <c r="E2532" t="s">
        <v>1017</v>
      </c>
      <c r="I2532" t="s">
        <v>1960</v>
      </c>
    </row>
    <row r="2533" spans="1:9" x14ac:dyDescent="0.3">
      <c r="A2533" t="s">
        <v>2098</v>
      </c>
      <c r="C2533" t="s">
        <v>1889</v>
      </c>
      <c r="E2533" t="s">
        <v>3761</v>
      </c>
      <c r="G2533" t="s">
        <v>2639</v>
      </c>
      <c r="I2533" t="s">
        <v>1961</v>
      </c>
    </row>
    <row r="2534" spans="1:9" x14ac:dyDescent="0.3">
      <c r="A2534" t="s">
        <v>2099</v>
      </c>
      <c r="C2534" t="s">
        <v>1890</v>
      </c>
      <c r="E2534" t="s">
        <v>1020</v>
      </c>
      <c r="G2534" t="s">
        <v>2640</v>
      </c>
      <c r="I2534" t="s">
        <v>1962</v>
      </c>
    </row>
    <row r="2535" spans="1:9" x14ac:dyDescent="0.3">
      <c r="A2535" t="s">
        <v>2100</v>
      </c>
      <c r="C2535" t="s">
        <v>3429</v>
      </c>
      <c r="E2535" t="s">
        <v>1023</v>
      </c>
      <c r="G2535" t="s">
        <v>3457</v>
      </c>
      <c r="I2535">
        <v>1</v>
      </c>
    </row>
    <row r="2536" spans="1:9" x14ac:dyDescent="0.3">
      <c r="C2536" t="s">
        <v>1893</v>
      </c>
      <c r="E2536" t="s">
        <v>3762</v>
      </c>
      <c r="G2536" t="s">
        <v>2643</v>
      </c>
      <c r="I2536" t="s">
        <v>89</v>
      </c>
    </row>
    <row r="2537" spans="1:9" x14ac:dyDescent="0.3">
      <c r="C2537" t="s">
        <v>1894</v>
      </c>
      <c r="E2537" t="s">
        <v>3763</v>
      </c>
      <c r="G2537" t="s">
        <v>2644</v>
      </c>
      <c r="I2537" t="s">
        <v>1963</v>
      </c>
    </row>
    <row r="2538" spans="1:9" x14ac:dyDescent="0.3">
      <c r="A2538" t="s">
        <v>2101</v>
      </c>
      <c r="C2538" t="s">
        <v>1895</v>
      </c>
      <c r="G2538" t="s">
        <v>2645</v>
      </c>
      <c r="I2538" t="s">
        <v>1964</v>
      </c>
    </row>
    <row r="2539" spans="1:9" x14ac:dyDescent="0.3">
      <c r="A2539" t="s">
        <v>1911</v>
      </c>
      <c r="C2539" t="s">
        <v>3430</v>
      </c>
      <c r="G2539" t="s">
        <v>2646</v>
      </c>
      <c r="I2539" t="s">
        <v>1965</v>
      </c>
    </row>
    <row r="2540" spans="1:9" x14ac:dyDescent="0.3">
      <c r="C2540" t="s">
        <v>1898</v>
      </c>
      <c r="E2540" t="s">
        <v>1824</v>
      </c>
      <c r="G2540" t="s">
        <v>2647</v>
      </c>
      <c r="I2540" t="s">
        <v>1966</v>
      </c>
    </row>
    <row r="2541" spans="1:9" x14ac:dyDescent="0.3">
      <c r="A2541" t="s">
        <v>2102</v>
      </c>
      <c r="C2541" t="s">
        <v>1899</v>
      </c>
      <c r="E2541" t="s">
        <v>1503</v>
      </c>
      <c r="G2541" t="s">
        <v>2649</v>
      </c>
      <c r="I2541" t="s">
        <v>1967</v>
      </c>
    </row>
    <row r="2542" spans="1:9" x14ac:dyDescent="0.3">
      <c r="A2542" t="s">
        <v>2103</v>
      </c>
      <c r="C2542" t="s">
        <v>1900</v>
      </c>
      <c r="G2542" t="s">
        <v>2650</v>
      </c>
      <c r="I2542" t="e">
        <f>- installazione e manutenzione di: cabine di trasformazione</f>
        <v>#NAME?</v>
      </c>
    </row>
    <row r="2543" spans="1:9" x14ac:dyDescent="0.3">
      <c r="A2543" t="s">
        <v>2104</v>
      </c>
      <c r="C2543" t="s">
        <v>1901</v>
      </c>
      <c r="E2543" t="s">
        <v>3234</v>
      </c>
      <c r="G2543" t="s">
        <v>2651</v>
      </c>
    </row>
    <row r="2544" spans="1:9" x14ac:dyDescent="0.3">
      <c r="A2544" t="s">
        <v>2105</v>
      </c>
      <c r="C2544" t="s">
        <v>1902</v>
      </c>
      <c r="G2544" t="s">
        <v>2652</v>
      </c>
    </row>
    <row r="2545" spans="1:9" x14ac:dyDescent="0.3">
      <c r="A2545" t="s">
        <v>2106</v>
      </c>
      <c r="C2545" t="s">
        <v>1903</v>
      </c>
      <c r="E2545" t="s">
        <v>3764</v>
      </c>
      <c r="G2545" t="s">
        <v>2653</v>
      </c>
      <c r="I2545" t="s">
        <v>1968</v>
      </c>
    </row>
    <row r="2546" spans="1:9" x14ac:dyDescent="0.3">
      <c r="A2546" t="s">
        <v>2107</v>
      </c>
      <c r="C2546" t="s">
        <v>1904</v>
      </c>
      <c r="E2546" t="s">
        <v>1028</v>
      </c>
      <c r="G2546" t="s">
        <v>2654</v>
      </c>
      <c r="I2546" t="s">
        <v>1911</v>
      </c>
    </row>
    <row r="2547" spans="1:9" x14ac:dyDescent="0.3">
      <c r="A2547" t="s">
        <v>2108</v>
      </c>
      <c r="C2547" t="s">
        <v>1905</v>
      </c>
      <c r="E2547" t="s">
        <v>1029</v>
      </c>
      <c r="G2547" t="s">
        <v>2655</v>
      </c>
    </row>
    <row r="2548" spans="1:9" x14ac:dyDescent="0.3">
      <c r="A2548" t="s">
        <v>2109</v>
      </c>
      <c r="C2548" t="s">
        <v>1906</v>
      </c>
      <c r="E2548" t="s">
        <v>1030</v>
      </c>
      <c r="G2548" t="s">
        <v>2656</v>
      </c>
      <c r="I2548" t="s">
        <v>3247</v>
      </c>
    </row>
    <row r="2549" spans="1:9" x14ac:dyDescent="0.3">
      <c r="A2549" t="s">
        <v>2110</v>
      </c>
      <c r="C2549" t="s">
        <v>1907</v>
      </c>
      <c r="E2549" t="s">
        <v>614</v>
      </c>
      <c r="G2549" t="s">
        <v>2657</v>
      </c>
    </row>
    <row r="2550" spans="1:9" x14ac:dyDescent="0.3">
      <c r="A2550" t="s">
        <v>2111</v>
      </c>
      <c r="C2550" t="s">
        <v>1908</v>
      </c>
      <c r="E2550" t="s">
        <v>1031</v>
      </c>
      <c r="G2550" t="s">
        <v>2658</v>
      </c>
      <c r="I2550" t="s">
        <v>1962</v>
      </c>
    </row>
    <row r="2551" spans="1:9" x14ac:dyDescent="0.3">
      <c r="A2551" t="s">
        <v>2112</v>
      </c>
      <c r="C2551" t="s">
        <v>89</v>
      </c>
      <c r="E2551" t="s">
        <v>1032</v>
      </c>
      <c r="G2551" t="s">
        <v>2659</v>
      </c>
      <c r="I2551">
        <v>1</v>
      </c>
    </row>
    <row r="2552" spans="1:9" x14ac:dyDescent="0.3">
      <c r="A2552" t="s">
        <v>2113</v>
      </c>
      <c r="C2552" t="s">
        <v>1909</v>
      </c>
      <c r="E2552" t="s">
        <v>1033</v>
      </c>
      <c r="G2552" t="s">
        <v>2660</v>
      </c>
      <c r="I2552" t="s">
        <v>89</v>
      </c>
    </row>
    <row r="2553" spans="1:9" x14ac:dyDescent="0.3">
      <c r="A2553">
        <v>4</v>
      </c>
      <c r="E2553" t="s">
        <v>89</v>
      </c>
      <c r="G2553" t="s">
        <v>2661</v>
      </c>
      <c r="I2553" t="s">
        <v>1963</v>
      </c>
    </row>
    <row r="2554" spans="1:9" x14ac:dyDescent="0.3">
      <c r="A2554" t="s">
        <v>89</v>
      </c>
      <c r="E2554" t="s">
        <v>1034</v>
      </c>
      <c r="G2554" t="s">
        <v>2662</v>
      </c>
      <c r="I2554" t="s">
        <v>1964</v>
      </c>
    </row>
    <row r="2555" spans="1:9" x14ac:dyDescent="0.3">
      <c r="A2555" t="s">
        <v>2114</v>
      </c>
      <c r="C2555" t="s">
        <v>1593</v>
      </c>
      <c r="E2555" t="s">
        <v>1035</v>
      </c>
      <c r="G2555" t="s">
        <v>2663</v>
      </c>
      <c r="I2555" t="s">
        <v>1965</v>
      </c>
    </row>
    <row r="2556" spans="1:9" x14ac:dyDescent="0.3">
      <c r="A2556" t="s">
        <v>2115</v>
      </c>
      <c r="C2556" t="s">
        <v>1911</v>
      </c>
      <c r="E2556" t="s">
        <v>3765</v>
      </c>
      <c r="G2556" t="s">
        <v>2664</v>
      </c>
      <c r="I2556" t="s">
        <v>1966</v>
      </c>
    </row>
    <row r="2557" spans="1:9" x14ac:dyDescent="0.3">
      <c r="A2557" t="s">
        <v>2116</v>
      </c>
      <c r="E2557" t="s">
        <v>1038</v>
      </c>
      <c r="G2557" t="s">
        <v>2665</v>
      </c>
      <c r="I2557" t="s">
        <v>1967</v>
      </c>
    </row>
    <row r="2558" spans="1:9" x14ac:dyDescent="0.3">
      <c r="A2558" t="s">
        <v>2117</v>
      </c>
      <c r="C2558" t="s">
        <v>3219</v>
      </c>
      <c r="E2558" t="s">
        <v>3766</v>
      </c>
      <c r="G2558" t="s">
        <v>2666</v>
      </c>
      <c r="I2558" t="e">
        <f>- installazione e manutenzione di: cabine di trasformazione</f>
        <v>#NAME?</v>
      </c>
    </row>
    <row r="2559" spans="1:9" x14ac:dyDescent="0.3">
      <c r="A2559" t="s">
        <v>2118</v>
      </c>
      <c r="E2559" t="s">
        <v>1041</v>
      </c>
      <c r="G2559" t="s">
        <v>2667</v>
      </c>
      <c r="I2559" t="s">
        <v>1969</v>
      </c>
    </row>
    <row r="2560" spans="1:9" x14ac:dyDescent="0.3">
      <c r="A2560" t="s">
        <v>2119</v>
      </c>
      <c r="C2560" t="s">
        <v>1912</v>
      </c>
      <c r="E2560" t="s">
        <v>1042</v>
      </c>
      <c r="G2560" t="s">
        <v>2668</v>
      </c>
      <c r="I2560" t="s">
        <v>1970</v>
      </c>
    </row>
    <row r="2561" spans="1:9" x14ac:dyDescent="0.3">
      <c r="A2561" t="s">
        <v>2120</v>
      </c>
      <c r="C2561" t="s">
        <v>1913</v>
      </c>
      <c r="E2561" t="s">
        <v>3767</v>
      </c>
      <c r="G2561" t="s">
        <v>2669</v>
      </c>
      <c r="I2561" t="s">
        <v>1971</v>
      </c>
    </row>
    <row r="2562" spans="1:9" ht="28.8" x14ac:dyDescent="0.3">
      <c r="A2562" t="s">
        <v>2121</v>
      </c>
      <c r="C2562" s="9" t="s">
        <v>1914</v>
      </c>
      <c r="E2562" t="s">
        <v>1047</v>
      </c>
      <c r="G2562" t="s">
        <v>2670</v>
      </c>
      <c r="I2562" t="s">
        <v>1972</v>
      </c>
    </row>
    <row r="2563" spans="1:9" x14ac:dyDescent="0.3">
      <c r="A2563" t="s">
        <v>2122</v>
      </c>
      <c r="C2563" t="s">
        <v>3431</v>
      </c>
      <c r="E2563" t="s">
        <v>1048</v>
      </c>
      <c r="G2563" t="s">
        <v>2671</v>
      </c>
      <c r="I2563" t="s">
        <v>1973</v>
      </c>
    </row>
    <row r="2564" spans="1:9" x14ac:dyDescent="0.3">
      <c r="A2564" t="s">
        <v>2123</v>
      </c>
      <c r="C2564" t="s">
        <v>1917</v>
      </c>
      <c r="E2564" t="s">
        <v>1049</v>
      </c>
      <c r="G2564" t="s">
        <v>2672</v>
      </c>
      <c r="I2564" t="s">
        <v>1974</v>
      </c>
    </row>
    <row r="2565" spans="1:9" x14ac:dyDescent="0.3">
      <c r="A2565" t="s">
        <v>2124</v>
      </c>
      <c r="C2565" t="s">
        <v>1918</v>
      </c>
      <c r="E2565" t="s">
        <v>1050</v>
      </c>
      <c r="G2565" t="s">
        <v>2673</v>
      </c>
      <c r="I2565" t="s">
        <v>1975</v>
      </c>
    </row>
    <row r="2566" spans="1:9" x14ac:dyDescent="0.3">
      <c r="A2566" t="s">
        <v>2125</v>
      </c>
      <c r="C2566" t="s">
        <v>1919</v>
      </c>
      <c r="E2566" t="s">
        <v>1051</v>
      </c>
      <c r="G2566" t="s">
        <v>2675</v>
      </c>
      <c r="I2566" t="s">
        <v>1976</v>
      </c>
    </row>
    <row r="2567" spans="1:9" x14ac:dyDescent="0.3">
      <c r="A2567" t="s">
        <v>2126</v>
      </c>
      <c r="C2567" t="s">
        <v>1920</v>
      </c>
      <c r="E2567" t="s">
        <v>1052</v>
      </c>
      <c r="G2567" t="s">
        <v>2676</v>
      </c>
      <c r="I2567" t="s">
        <v>1977</v>
      </c>
    </row>
    <row r="2568" spans="1:9" x14ac:dyDescent="0.3">
      <c r="A2568" t="s">
        <v>2127</v>
      </c>
      <c r="C2568" t="s">
        <v>3432</v>
      </c>
      <c r="E2568" t="s">
        <v>3768</v>
      </c>
      <c r="G2568" t="s">
        <v>2677</v>
      </c>
      <c r="I2568" t="s">
        <v>1978</v>
      </c>
    </row>
    <row r="2569" spans="1:9" x14ac:dyDescent="0.3">
      <c r="A2569" t="s">
        <v>2128</v>
      </c>
      <c r="C2569" t="s">
        <v>1923</v>
      </c>
      <c r="G2569" t="s">
        <v>3458</v>
      </c>
      <c r="I2569" t="s">
        <v>1979</v>
      </c>
    </row>
    <row r="2570" spans="1:9" x14ac:dyDescent="0.3">
      <c r="A2570" t="s">
        <v>2129</v>
      </c>
      <c r="C2570" t="s">
        <v>1924</v>
      </c>
      <c r="G2570" t="s">
        <v>2680</v>
      </c>
      <c r="I2570" t="s">
        <v>1980</v>
      </c>
    </row>
    <row r="2571" spans="1:9" x14ac:dyDescent="0.3">
      <c r="A2571" t="s">
        <v>2130</v>
      </c>
      <c r="C2571" t="s">
        <v>1925</v>
      </c>
      <c r="E2571" t="s">
        <v>1841</v>
      </c>
      <c r="G2571" t="s">
        <v>2681</v>
      </c>
      <c r="I2571" t="s">
        <v>1981</v>
      </c>
    </row>
    <row r="2572" spans="1:9" x14ac:dyDescent="0.3">
      <c r="A2572" t="s">
        <v>2131</v>
      </c>
      <c r="C2572" t="s">
        <v>1926</v>
      </c>
      <c r="E2572" t="s">
        <v>1503</v>
      </c>
      <c r="G2572" t="s">
        <v>2682</v>
      </c>
      <c r="I2572" t="s">
        <v>1982</v>
      </c>
    </row>
    <row r="2573" spans="1:9" x14ac:dyDescent="0.3">
      <c r="A2573" t="s">
        <v>2132</v>
      </c>
      <c r="C2573" t="s">
        <v>1927</v>
      </c>
      <c r="I2573" t="s">
        <v>1983</v>
      </c>
    </row>
    <row r="2574" spans="1:9" x14ac:dyDescent="0.3">
      <c r="A2574" t="s">
        <v>2133</v>
      </c>
      <c r="C2574" t="s">
        <v>1928</v>
      </c>
      <c r="E2574" t="s">
        <v>3235</v>
      </c>
      <c r="I2574" t="s">
        <v>1984</v>
      </c>
    </row>
    <row r="2575" spans="1:9" x14ac:dyDescent="0.3">
      <c r="A2575" t="s">
        <v>2134</v>
      </c>
      <c r="C2575" t="s">
        <v>1929</v>
      </c>
      <c r="G2575" t="s">
        <v>1524</v>
      </c>
      <c r="I2575" t="s">
        <v>1985</v>
      </c>
    </row>
    <row r="2576" spans="1:9" x14ac:dyDescent="0.3">
      <c r="C2576" t="s">
        <v>1930</v>
      </c>
      <c r="E2576" t="s">
        <v>3769</v>
      </c>
      <c r="G2576" t="s">
        <v>1911</v>
      </c>
      <c r="I2576" t="s">
        <v>1986</v>
      </c>
    </row>
    <row r="2577" spans="1:9" x14ac:dyDescent="0.3">
      <c r="C2577" t="s">
        <v>1931</v>
      </c>
      <c r="E2577" t="s">
        <v>1056</v>
      </c>
      <c r="I2577" t="s">
        <v>1987</v>
      </c>
    </row>
    <row r="2578" spans="1:9" x14ac:dyDescent="0.3">
      <c r="A2578" t="s">
        <v>2135</v>
      </c>
      <c r="C2578" t="s">
        <v>1932</v>
      </c>
      <c r="E2578" t="s">
        <v>3770</v>
      </c>
      <c r="G2578" t="s">
        <v>3201</v>
      </c>
      <c r="I2578" t="s">
        <v>1988</v>
      </c>
    </row>
    <row r="2579" spans="1:9" x14ac:dyDescent="0.3">
      <c r="A2579" t="s">
        <v>1911</v>
      </c>
      <c r="C2579" t="s">
        <v>1933</v>
      </c>
      <c r="E2579" t="s">
        <v>1059</v>
      </c>
      <c r="I2579" t="s">
        <v>1989</v>
      </c>
    </row>
    <row r="2580" spans="1:9" x14ac:dyDescent="0.3">
      <c r="C2580" t="s">
        <v>1934</v>
      </c>
      <c r="E2580" t="s">
        <v>1060</v>
      </c>
      <c r="G2580" t="s">
        <v>2672</v>
      </c>
      <c r="I2580" t="s">
        <v>1990</v>
      </c>
    </row>
    <row r="2581" spans="1:9" x14ac:dyDescent="0.3">
      <c r="A2581" t="s">
        <v>2128</v>
      </c>
      <c r="C2581" t="s">
        <v>1935</v>
      </c>
      <c r="E2581" t="s">
        <v>1061</v>
      </c>
      <c r="G2581" t="s">
        <v>2673</v>
      </c>
    </row>
    <row r="2582" spans="1:9" x14ac:dyDescent="0.3">
      <c r="A2582" t="s">
        <v>2129</v>
      </c>
      <c r="C2582" t="s">
        <v>1936</v>
      </c>
      <c r="E2582" t="s">
        <v>1062</v>
      </c>
      <c r="G2582" t="s">
        <v>2675</v>
      </c>
    </row>
    <row r="2583" spans="1:9" x14ac:dyDescent="0.3">
      <c r="A2583" t="s">
        <v>2130</v>
      </c>
      <c r="C2583" t="s">
        <v>1937</v>
      </c>
      <c r="E2583" t="s">
        <v>3771</v>
      </c>
      <c r="G2583" t="s">
        <v>2676</v>
      </c>
      <c r="I2583" t="s">
        <v>1991</v>
      </c>
    </row>
    <row r="2584" spans="1:9" x14ac:dyDescent="0.3">
      <c r="A2584" t="s">
        <v>2131</v>
      </c>
      <c r="C2584" t="s">
        <v>1938</v>
      </c>
      <c r="E2584" t="s">
        <v>1065</v>
      </c>
      <c r="G2584" t="s">
        <v>2677</v>
      </c>
      <c r="I2584" t="s">
        <v>1911</v>
      </c>
    </row>
    <row r="2585" spans="1:9" x14ac:dyDescent="0.3">
      <c r="A2585" t="s">
        <v>2132</v>
      </c>
      <c r="C2585" t="s">
        <v>1940</v>
      </c>
      <c r="E2585" t="s">
        <v>1066</v>
      </c>
      <c r="G2585" t="s">
        <v>3458</v>
      </c>
    </row>
    <row r="2586" spans="1:9" x14ac:dyDescent="0.3">
      <c r="A2586" t="s">
        <v>2133</v>
      </c>
      <c r="C2586" t="s">
        <v>1941</v>
      </c>
      <c r="E2586" t="s">
        <v>1067</v>
      </c>
      <c r="G2586" t="s">
        <v>2680</v>
      </c>
      <c r="I2586" t="s">
        <v>3248</v>
      </c>
    </row>
    <row r="2587" spans="1:9" x14ac:dyDescent="0.3">
      <c r="A2587" t="s">
        <v>2134</v>
      </c>
      <c r="C2587" t="s">
        <v>1942</v>
      </c>
      <c r="E2587" t="s">
        <v>1070</v>
      </c>
      <c r="G2587" t="s">
        <v>2681</v>
      </c>
    </row>
    <row r="2588" spans="1:9" x14ac:dyDescent="0.3">
      <c r="A2588" t="s">
        <v>2136</v>
      </c>
      <c r="C2588" t="e">
        <f>- installazione e manutenzione: impianti elettrici e impianti</f>
        <v>#NAME?</v>
      </c>
      <c r="E2588" t="s">
        <v>3772</v>
      </c>
      <c r="G2588" t="s">
        <v>2682</v>
      </c>
      <c r="I2588" t="s">
        <v>1984</v>
      </c>
    </row>
    <row r="2589" spans="1:9" x14ac:dyDescent="0.3">
      <c r="A2589" t="s">
        <v>2137</v>
      </c>
      <c r="C2589" t="s">
        <v>1943</v>
      </c>
      <c r="E2589" t="s">
        <v>1073</v>
      </c>
      <c r="G2589" t="s">
        <v>2683</v>
      </c>
      <c r="I2589" t="s">
        <v>1985</v>
      </c>
    </row>
    <row r="2590" spans="1:9" x14ac:dyDescent="0.3">
      <c r="A2590" t="s">
        <v>2138</v>
      </c>
      <c r="C2590" t="s">
        <v>1944</v>
      </c>
      <c r="E2590" t="s">
        <v>3773</v>
      </c>
      <c r="G2590" t="s">
        <v>2685</v>
      </c>
      <c r="I2590" t="s">
        <v>1986</v>
      </c>
    </row>
    <row r="2591" spans="1:9" x14ac:dyDescent="0.3">
      <c r="A2591" t="s">
        <v>2139</v>
      </c>
      <c r="C2591" t="s">
        <v>1945</v>
      </c>
      <c r="G2591">
        <v>15</v>
      </c>
      <c r="I2591" t="s">
        <v>1987</v>
      </c>
    </row>
    <row r="2592" spans="1:9" x14ac:dyDescent="0.3">
      <c r="A2592" t="s">
        <v>2140</v>
      </c>
      <c r="C2592" t="s">
        <v>1946</v>
      </c>
      <c r="G2592" t="s">
        <v>89</v>
      </c>
      <c r="I2592" t="s">
        <v>1988</v>
      </c>
    </row>
    <row r="2593" spans="1:9" x14ac:dyDescent="0.3">
      <c r="A2593" t="s">
        <v>2141</v>
      </c>
      <c r="C2593" t="s">
        <v>1947</v>
      </c>
      <c r="E2593" t="s">
        <v>1860</v>
      </c>
      <c r="G2593" t="s">
        <v>2686</v>
      </c>
      <c r="I2593" t="s">
        <v>1989</v>
      </c>
    </row>
    <row r="2594" spans="1:9" x14ac:dyDescent="0.3">
      <c r="A2594" t="s">
        <v>2142</v>
      </c>
      <c r="E2594" t="s">
        <v>1503</v>
      </c>
      <c r="G2594" t="s">
        <v>2687</v>
      </c>
      <c r="I2594" t="s">
        <v>1990</v>
      </c>
    </row>
    <row r="2595" spans="1:9" x14ac:dyDescent="0.3">
      <c r="A2595" t="s">
        <v>2143</v>
      </c>
      <c r="G2595" t="s">
        <v>2688</v>
      </c>
      <c r="I2595" t="s">
        <v>1992</v>
      </c>
    </row>
    <row r="2596" spans="1:9" x14ac:dyDescent="0.3">
      <c r="A2596" t="s">
        <v>2144</v>
      </c>
      <c r="C2596" t="s">
        <v>1606</v>
      </c>
      <c r="E2596" t="s">
        <v>3236</v>
      </c>
      <c r="G2596" t="s">
        <v>2689</v>
      </c>
      <c r="I2596" t="s">
        <v>1993</v>
      </c>
    </row>
    <row r="2597" spans="1:9" x14ac:dyDescent="0.3">
      <c r="A2597" t="s">
        <v>2145</v>
      </c>
      <c r="C2597" t="s">
        <v>1911</v>
      </c>
      <c r="G2597" t="s">
        <v>2690</v>
      </c>
      <c r="I2597" t="s">
        <v>1994</v>
      </c>
    </row>
    <row r="2598" spans="1:9" x14ac:dyDescent="0.3">
      <c r="A2598" t="s">
        <v>2146</v>
      </c>
      <c r="E2598" t="s">
        <v>1076</v>
      </c>
      <c r="G2598" t="s">
        <v>2691</v>
      </c>
      <c r="I2598" t="s">
        <v>1995</v>
      </c>
    </row>
    <row r="2599" spans="1:9" x14ac:dyDescent="0.3">
      <c r="A2599" t="s">
        <v>2147</v>
      </c>
      <c r="C2599" t="s">
        <v>3220</v>
      </c>
      <c r="E2599" t="s">
        <v>1077</v>
      </c>
      <c r="G2599" t="s">
        <v>2692</v>
      </c>
      <c r="I2599" t="s">
        <v>1996</v>
      </c>
    </row>
    <row r="2600" spans="1:9" x14ac:dyDescent="0.3">
      <c r="A2600" t="s">
        <v>2136</v>
      </c>
      <c r="E2600" t="s">
        <v>1078</v>
      </c>
      <c r="G2600" t="s">
        <v>2693</v>
      </c>
      <c r="I2600" t="s">
        <v>1997</v>
      </c>
    </row>
    <row r="2601" spans="1:9" x14ac:dyDescent="0.3">
      <c r="A2601" t="s">
        <v>2148</v>
      </c>
      <c r="C2601" t="s">
        <v>1942</v>
      </c>
      <c r="E2601" t="s">
        <v>1079</v>
      </c>
      <c r="G2601" t="s">
        <v>2694</v>
      </c>
      <c r="I2601" t="s">
        <v>1998</v>
      </c>
    </row>
    <row r="2602" spans="1:9" x14ac:dyDescent="0.3">
      <c r="A2602" t="s">
        <v>2149</v>
      </c>
      <c r="C2602" t="e">
        <f>- installazione e manutenzione: impianti elettrici e impianti</f>
        <v>#NAME?</v>
      </c>
      <c r="E2602" t="s">
        <v>1080</v>
      </c>
      <c r="G2602" t="s">
        <v>2695</v>
      </c>
      <c r="I2602" t="s">
        <v>1999</v>
      </c>
    </row>
    <row r="2603" spans="1:9" x14ac:dyDescent="0.3">
      <c r="C2603" t="s">
        <v>1943</v>
      </c>
      <c r="E2603" t="s">
        <v>1081</v>
      </c>
      <c r="G2603" t="s">
        <v>2696</v>
      </c>
      <c r="I2603" t="s">
        <v>2000</v>
      </c>
    </row>
    <row r="2604" spans="1:9" x14ac:dyDescent="0.3">
      <c r="C2604" t="s">
        <v>1944</v>
      </c>
      <c r="E2604" t="s">
        <v>1082</v>
      </c>
      <c r="G2604" t="s">
        <v>2697</v>
      </c>
      <c r="I2604" t="s">
        <v>2001</v>
      </c>
    </row>
    <row r="2605" spans="1:9" x14ac:dyDescent="0.3">
      <c r="A2605" t="s">
        <v>2150</v>
      </c>
      <c r="C2605" t="s">
        <v>1945</v>
      </c>
      <c r="E2605" t="s">
        <v>1083</v>
      </c>
      <c r="G2605" t="s">
        <v>3459</v>
      </c>
      <c r="I2605" t="s">
        <v>2002</v>
      </c>
    </row>
    <row r="2606" spans="1:9" x14ac:dyDescent="0.3">
      <c r="A2606" t="s">
        <v>1911</v>
      </c>
      <c r="C2606" t="s">
        <v>1946</v>
      </c>
      <c r="E2606" t="s">
        <v>1084</v>
      </c>
      <c r="G2606" t="s">
        <v>2700</v>
      </c>
      <c r="I2606" t="s">
        <v>2003</v>
      </c>
    </row>
    <row r="2607" spans="1:9" x14ac:dyDescent="0.3">
      <c r="C2607" t="s">
        <v>1947</v>
      </c>
      <c r="E2607" t="s">
        <v>1085</v>
      </c>
      <c r="G2607" t="s">
        <v>2701</v>
      </c>
      <c r="I2607" t="e">
        <f>- impianti di sollevamento di persone o di cose per mezzo di</f>
        <v>#NAME?</v>
      </c>
    </row>
    <row r="2608" spans="1:9" x14ac:dyDescent="0.3">
      <c r="A2608" t="s">
        <v>2151</v>
      </c>
      <c r="C2608" t="s">
        <v>1948</v>
      </c>
      <c r="E2608" t="s">
        <v>3774</v>
      </c>
      <c r="G2608" t="s">
        <v>2702</v>
      </c>
      <c r="I2608" t="s">
        <v>2004</v>
      </c>
    </row>
    <row r="2609" spans="1:9" x14ac:dyDescent="0.3">
      <c r="A2609" t="s">
        <v>2152</v>
      </c>
      <c r="C2609" t="s">
        <v>1949</v>
      </c>
      <c r="E2609" t="s">
        <v>1088</v>
      </c>
      <c r="G2609" t="s">
        <v>2703</v>
      </c>
      <c r="I2609" t="s">
        <v>2005</v>
      </c>
    </row>
    <row r="2610" spans="1:9" x14ac:dyDescent="0.3">
      <c r="A2610" t="s">
        <v>2153</v>
      </c>
      <c r="C2610" t="s">
        <v>1950</v>
      </c>
      <c r="E2610" t="s">
        <v>1089</v>
      </c>
      <c r="G2610" t="s">
        <v>2704</v>
      </c>
      <c r="I2610" t="s">
        <v>2006</v>
      </c>
    </row>
    <row r="2611" spans="1:9" x14ac:dyDescent="0.3">
      <c r="A2611" t="s">
        <v>2154</v>
      </c>
      <c r="C2611" t="s">
        <v>1951</v>
      </c>
      <c r="E2611" t="s">
        <v>3775</v>
      </c>
      <c r="G2611" t="s">
        <v>2705</v>
      </c>
      <c r="I2611" t="s">
        <v>2007</v>
      </c>
    </row>
    <row r="2612" spans="1:9" x14ac:dyDescent="0.3">
      <c r="A2612" t="s">
        <v>2155</v>
      </c>
      <c r="C2612" t="s">
        <v>1952</v>
      </c>
      <c r="E2612" t="s">
        <v>1094</v>
      </c>
      <c r="G2612" t="s">
        <v>2706</v>
      </c>
      <c r="I2612" t="s">
        <v>2008</v>
      </c>
    </row>
    <row r="2613" spans="1:9" x14ac:dyDescent="0.3">
      <c r="A2613" t="s">
        <v>2156</v>
      </c>
      <c r="C2613" t="s">
        <v>1953</v>
      </c>
      <c r="E2613" t="s">
        <v>89</v>
      </c>
      <c r="G2613" t="s">
        <v>3460</v>
      </c>
      <c r="I2613" t="e">
        <f>-  riparazioni di alimentazioni per autoveicoli a combustione</f>
        <v>#NAME?</v>
      </c>
    </row>
    <row r="2614" spans="1:9" x14ac:dyDescent="0.3">
      <c r="A2614" t="s">
        <v>2157</v>
      </c>
      <c r="C2614" t="s">
        <v>1954</v>
      </c>
      <c r="E2614" t="s">
        <v>1095</v>
      </c>
      <c r="G2614" t="s">
        <v>2709</v>
      </c>
      <c r="I2614" t="s">
        <v>2009</v>
      </c>
    </row>
    <row r="2615" spans="1:9" x14ac:dyDescent="0.3">
      <c r="A2615" t="s">
        <v>2158</v>
      </c>
      <c r="C2615" t="s">
        <v>1955</v>
      </c>
      <c r="E2615" t="s">
        <v>1096</v>
      </c>
      <c r="G2615" t="s">
        <v>2710</v>
      </c>
      <c r="I2615" t="s">
        <v>2010</v>
      </c>
    </row>
    <row r="2616" spans="1:9" x14ac:dyDescent="0.3">
      <c r="A2616" t="s">
        <v>2159</v>
      </c>
      <c r="C2616" t="s">
        <v>1956</v>
      </c>
      <c r="E2616" t="s">
        <v>3776</v>
      </c>
      <c r="G2616" t="s">
        <v>2711</v>
      </c>
      <c r="I2616" t="s">
        <v>2011</v>
      </c>
    </row>
    <row r="2617" spans="1:9" x14ac:dyDescent="0.3">
      <c r="A2617" t="s">
        <v>2160</v>
      </c>
      <c r="C2617" t="s">
        <v>1957</v>
      </c>
      <c r="G2617" t="s">
        <v>2712</v>
      </c>
      <c r="I2617">
        <v>2</v>
      </c>
    </row>
    <row r="2618" spans="1:9" x14ac:dyDescent="0.3">
      <c r="A2618" t="s">
        <v>2161</v>
      </c>
      <c r="C2618" t="s">
        <v>1958</v>
      </c>
      <c r="G2618" t="s">
        <v>2713</v>
      </c>
      <c r="I2618" t="s">
        <v>89</v>
      </c>
    </row>
    <row r="2619" spans="1:9" x14ac:dyDescent="0.3">
      <c r="A2619" t="s">
        <v>2162</v>
      </c>
      <c r="C2619" t="s">
        <v>1959</v>
      </c>
      <c r="E2619" t="s">
        <v>1865</v>
      </c>
      <c r="G2619" t="s">
        <v>2714</v>
      </c>
      <c r="I2619" t="s">
        <v>2012</v>
      </c>
    </row>
    <row r="2620" spans="1:9" x14ac:dyDescent="0.3">
      <c r="A2620" t="s">
        <v>2163</v>
      </c>
      <c r="C2620" t="s">
        <v>1960</v>
      </c>
      <c r="E2620" t="s">
        <v>1503</v>
      </c>
      <c r="G2620" t="s">
        <v>2715</v>
      </c>
      <c r="I2620" t="s">
        <v>2013</v>
      </c>
    </row>
    <row r="2621" spans="1:9" x14ac:dyDescent="0.3">
      <c r="A2621" t="s">
        <v>2164</v>
      </c>
      <c r="C2621" t="s">
        <v>1961</v>
      </c>
      <c r="G2621" t="s">
        <v>2716</v>
      </c>
      <c r="I2621" t="s">
        <v>2014</v>
      </c>
    </row>
    <row r="2622" spans="1:9" x14ac:dyDescent="0.3">
      <c r="A2622">
        <v>5</v>
      </c>
      <c r="C2622" t="s">
        <v>1962</v>
      </c>
      <c r="E2622" t="s">
        <v>3237</v>
      </c>
      <c r="G2622" t="s">
        <v>2717</v>
      </c>
      <c r="I2622" t="s">
        <v>2015</v>
      </c>
    </row>
    <row r="2623" spans="1:9" x14ac:dyDescent="0.3">
      <c r="A2623" t="s">
        <v>89</v>
      </c>
      <c r="C2623">
        <v>1</v>
      </c>
    </row>
    <row r="2624" spans="1:9" x14ac:dyDescent="0.3">
      <c r="A2624" t="s">
        <v>2165</v>
      </c>
      <c r="C2624" t="s">
        <v>89</v>
      </c>
      <c r="E2624" t="s">
        <v>3777</v>
      </c>
    </row>
    <row r="2625" spans="1:9" x14ac:dyDescent="0.3">
      <c r="A2625" t="s">
        <v>2166</v>
      </c>
      <c r="C2625" t="s">
        <v>1963</v>
      </c>
      <c r="E2625" t="s">
        <v>1099</v>
      </c>
      <c r="G2625" t="s">
        <v>1526</v>
      </c>
      <c r="I2625" t="s">
        <v>2016</v>
      </c>
    </row>
    <row r="2626" spans="1:9" x14ac:dyDescent="0.3">
      <c r="A2626" t="s">
        <v>2167</v>
      </c>
      <c r="C2626" t="s">
        <v>1964</v>
      </c>
      <c r="E2626" t="s">
        <v>1100</v>
      </c>
      <c r="G2626" t="s">
        <v>1911</v>
      </c>
      <c r="I2626" t="s">
        <v>1911</v>
      </c>
    </row>
    <row r="2627" spans="1:9" x14ac:dyDescent="0.3">
      <c r="A2627" t="s">
        <v>2168</v>
      </c>
      <c r="C2627" t="s">
        <v>1965</v>
      </c>
      <c r="E2627" t="s">
        <v>1101</v>
      </c>
    </row>
    <row r="2628" spans="1:9" x14ac:dyDescent="0.3">
      <c r="A2628" t="s">
        <v>2169</v>
      </c>
      <c r="C2628" t="s">
        <v>1966</v>
      </c>
      <c r="E2628" t="s">
        <v>1102</v>
      </c>
      <c r="G2628" t="s">
        <v>3202</v>
      </c>
      <c r="I2628" t="s">
        <v>3249</v>
      </c>
    </row>
    <row r="2629" spans="1:9" x14ac:dyDescent="0.3">
      <c r="A2629" t="s">
        <v>2170</v>
      </c>
      <c r="C2629" t="s">
        <v>1967</v>
      </c>
      <c r="E2629" t="s">
        <v>3778</v>
      </c>
    </row>
    <row r="2630" spans="1:9" x14ac:dyDescent="0.3">
      <c r="A2630" t="s">
        <v>2171</v>
      </c>
      <c r="C2630" t="e">
        <f>- installazione e manutenzione di: cabine di trasformazione</f>
        <v>#NAME?</v>
      </c>
      <c r="E2630" t="s">
        <v>1105</v>
      </c>
      <c r="G2630" t="s">
        <v>2712</v>
      </c>
      <c r="I2630" t="s">
        <v>2009</v>
      </c>
    </row>
    <row r="2631" spans="1:9" x14ac:dyDescent="0.3">
      <c r="A2631" t="s">
        <v>2172</v>
      </c>
      <c r="C2631" t="s">
        <v>1969</v>
      </c>
      <c r="E2631" t="s">
        <v>1106</v>
      </c>
      <c r="G2631" t="s">
        <v>2713</v>
      </c>
      <c r="I2631" t="s">
        <v>2010</v>
      </c>
    </row>
    <row r="2632" spans="1:9" x14ac:dyDescent="0.3">
      <c r="A2632" t="s">
        <v>2173</v>
      </c>
      <c r="E2632" t="s">
        <v>1107</v>
      </c>
      <c r="G2632" t="s">
        <v>2714</v>
      </c>
      <c r="I2632" t="s">
        <v>2011</v>
      </c>
    </row>
    <row r="2633" spans="1:9" x14ac:dyDescent="0.3">
      <c r="A2633" t="s">
        <v>2174</v>
      </c>
      <c r="E2633" t="s">
        <v>1108</v>
      </c>
      <c r="G2633" t="s">
        <v>2715</v>
      </c>
      <c r="I2633">
        <v>2</v>
      </c>
    </row>
    <row r="2634" spans="1:9" x14ac:dyDescent="0.3">
      <c r="A2634" t="s">
        <v>2175</v>
      </c>
      <c r="C2634" t="s">
        <v>1610</v>
      </c>
      <c r="E2634" t="s">
        <v>3779</v>
      </c>
      <c r="G2634" t="s">
        <v>2716</v>
      </c>
      <c r="I2634" t="s">
        <v>89</v>
      </c>
    </row>
    <row r="2635" spans="1:9" x14ac:dyDescent="0.3">
      <c r="A2635" t="s">
        <v>2176</v>
      </c>
      <c r="C2635" t="s">
        <v>1911</v>
      </c>
      <c r="E2635" t="s">
        <v>1111</v>
      </c>
      <c r="G2635" t="s">
        <v>2717</v>
      </c>
      <c r="I2635" t="s">
        <v>2012</v>
      </c>
    </row>
    <row r="2636" spans="1:9" x14ac:dyDescent="0.3">
      <c r="A2636" t="s">
        <v>2177</v>
      </c>
      <c r="E2636" t="s">
        <v>1112</v>
      </c>
      <c r="G2636" t="s">
        <v>2718</v>
      </c>
      <c r="I2636" t="s">
        <v>2013</v>
      </c>
    </row>
    <row r="2637" spans="1:9" x14ac:dyDescent="0.3">
      <c r="A2637" t="s">
        <v>2178</v>
      </c>
      <c r="C2637" t="s">
        <v>3221</v>
      </c>
      <c r="E2637" t="s">
        <v>3780</v>
      </c>
      <c r="G2637" t="e">
        <f>- il numero dei liquidatori e le regole di funzionamento del</f>
        <v>#NAME?</v>
      </c>
      <c r="I2637" t="s">
        <v>2014</v>
      </c>
    </row>
    <row r="2638" spans="1:9" x14ac:dyDescent="0.3">
      <c r="A2638" t="s">
        <v>2179</v>
      </c>
      <c r="E2638" t="s">
        <v>1117</v>
      </c>
      <c r="G2638" t="s">
        <v>2719</v>
      </c>
      <c r="I2638" t="s">
        <v>2017</v>
      </c>
    </row>
    <row r="2639" spans="1:9" x14ac:dyDescent="0.3">
      <c r="A2639" t="s">
        <v>2180</v>
      </c>
      <c r="C2639">
        <v>1</v>
      </c>
      <c r="E2639" t="s">
        <v>1118</v>
      </c>
      <c r="G2639" t="s">
        <v>2720</v>
      </c>
      <c r="I2639" t="s">
        <v>2018</v>
      </c>
    </row>
    <row r="2640" spans="1:9" x14ac:dyDescent="0.3">
      <c r="C2640" t="s">
        <v>89</v>
      </c>
      <c r="E2640" t="s">
        <v>1119</v>
      </c>
      <c r="G2640" t="s">
        <v>2721</v>
      </c>
      <c r="I2640" t="s">
        <v>2019</v>
      </c>
    </row>
    <row r="2641" spans="1:9" x14ac:dyDescent="0.3">
      <c r="C2641" t="s">
        <v>1963</v>
      </c>
      <c r="E2641" t="s">
        <v>1120</v>
      </c>
      <c r="G2641" t="s">
        <v>2722</v>
      </c>
      <c r="I2641" t="s">
        <v>2020</v>
      </c>
    </row>
    <row r="2642" spans="1:9" x14ac:dyDescent="0.3">
      <c r="A2642" t="s">
        <v>2181</v>
      </c>
      <c r="C2642" t="s">
        <v>1964</v>
      </c>
      <c r="E2642" t="s">
        <v>1525</v>
      </c>
      <c r="G2642" t="e">
        <f>- i poteri dei liquidatori.</f>
        <v>#NAME?</v>
      </c>
      <c r="I2642" t="s">
        <v>2021</v>
      </c>
    </row>
    <row r="2643" spans="1:9" x14ac:dyDescent="0.3">
      <c r="A2643" t="s">
        <v>1911</v>
      </c>
      <c r="C2643" t="s">
        <v>1965</v>
      </c>
      <c r="G2643" t="s">
        <v>2723</v>
      </c>
      <c r="I2643" t="s">
        <v>2022</v>
      </c>
    </row>
    <row r="2644" spans="1:9" x14ac:dyDescent="0.3">
      <c r="C2644" t="s">
        <v>1966</v>
      </c>
      <c r="G2644" t="s">
        <v>2724</v>
      </c>
      <c r="I2644" t="s">
        <v>2023</v>
      </c>
    </row>
    <row r="2645" spans="1:9" x14ac:dyDescent="0.3">
      <c r="A2645" t="s">
        <v>2182</v>
      </c>
      <c r="C2645" t="s">
        <v>1967</v>
      </c>
      <c r="E2645" t="s">
        <v>1871</v>
      </c>
      <c r="G2645" t="s">
        <v>3461</v>
      </c>
      <c r="I2645" t="s">
        <v>2024</v>
      </c>
    </row>
    <row r="2646" spans="1:9" x14ac:dyDescent="0.3">
      <c r="A2646" t="s">
        <v>2183</v>
      </c>
      <c r="C2646" t="e">
        <f>- installazione e manutenzione di: cabine di trasformazione</f>
        <v>#NAME?</v>
      </c>
      <c r="E2646" t="s">
        <v>1503</v>
      </c>
      <c r="G2646" t="s">
        <v>2727</v>
      </c>
      <c r="I2646" t="s">
        <v>2025</v>
      </c>
    </row>
    <row r="2647" spans="1:9" x14ac:dyDescent="0.3">
      <c r="A2647" t="s">
        <v>2184</v>
      </c>
      <c r="C2647" t="s">
        <v>1969</v>
      </c>
      <c r="G2647" t="s">
        <v>2728</v>
      </c>
      <c r="I2647" t="s">
        <v>2026</v>
      </c>
    </row>
    <row r="2648" spans="1:9" x14ac:dyDescent="0.3">
      <c r="A2648" t="s">
        <v>2185</v>
      </c>
      <c r="C2648" t="s">
        <v>1970</v>
      </c>
      <c r="E2648" t="s">
        <v>3238</v>
      </c>
      <c r="G2648" t="s">
        <v>3462</v>
      </c>
      <c r="I2648" t="s">
        <v>2027</v>
      </c>
    </row>
    <row r="2649" spans="1:9" x14ac:dyDescent="0.3">
      <c r="A2649" t="s">
        <v>2186</v>
      </c>
      <c r="C2649" t="s">
        <v>1971</v>
      </c>
      <c r="G2649" t="s">
        <v>2731</v>
      </c>
      <c r="I2649" t="s">
        <v>2028</v>
      </c>
    </row>
    <row r="2650" spans="1:9" x14ac:dyDescent="0.3">
      <c r="A2650" t="s">
        <v>2187</v>
      </c>
      <c r="C2650" t="s">
        <v>1972</v>
      </c>
      <c r="E2650" t="s">
        <v>1122</v>
      </c>
      <c r="G2650" t="s">
        <v>2732</v>
      </c>
      <c r="I2650" t="s">
        <v>2029</v>
      </c>
    </row>
    <row r="2651" spans="1:9" x14ac:dyDescent="0.3">
      <c r="C2651" t="s">
        <v>1973</v>
      </c>
      <c r="E2651" t="s">
        <v>1123</v>
      </c>
      <c r="G2651" t="s">
        <v>2733</v>
      </c>
      <c r="I2651" t="s">
        <v>2030</v>
      </c>
    </row>
    <row r="2652" spans="1:9" x14ac:dyDescent="0.3">
      <c r="C2652" t="s">
        <v>1974</v>
      </c>
      <c r="E2652" t="s">
        <v>1124</v>
      </c>
      <c r="G2652" t="s">
        <v>2734</v>
      </c>
      <c r="I2652" t="s">
        <v>2031</v>
      </c>
    </row>
    <row r="2653" spans="1:9" x14ac:dyDescent="0.3">
      <c r="A2653" t="s">
        <v>2188</v>
      </c>
      <c r="C2653" t="s">
        <v>1975</v>
      </c>
      <c r="E2653" t="s">
        <v>1125</v>
      </c>
      <c r="G2653" t="s">
        <v>2735</v>
      </c>
      <c r="I2653" t="s">
        <v>2032</v>
      </c>
    </row>
    <row r="2654" spans="1:9" x14ac:dyDescent="0.3">
      <c r="A2654" t="s">
        <v>1911</v>
      </c>
      <c r="C2654" t="s">
        <v>1976</v>
      </c>
      <c r="E2654" t="s">
        <v>1126</v>
      </c>
      <c r="G2654" t="s">
        <v>2736</v>
      </c>
      <c r="I2654" t="s">
        <v>2029</v>
      </c>
    </row>
    <row r="2655" spans="1:9" x14ac:dyDescent="0.3">
      <c r="C2655" t="s">
        <v>1977</v>
      </c>
      <c r="E2655" t="s">
        <v>1127</v>
      </c>
      <c r="G2655" t="s">
        <v>2737</v>
      </c>
      <c r="I2655" t="s">
        <v>2033</v>
      </c>
    </row>
    <row r="2656" spans="1:9" x14ac:dyDescent="0.3">
      <c r="A2656" t="s">
        <v>2189</v>
      </c>
      <c r="C2656" t="s">
        <v>1978</v>
      </c>
      <c r="E2656" t="s">
        <v>1128</v>
      </c>
      <c r="G2656">
        <v>16</v>
      </c>
      <c r="I2656" t="s">
        <v>2034</v>
      </c>
    </row>
    <row r="2657" spans="1:9" x14ac:dyDescent="0.3">
      <c r="A2657" t="s">
        <v>2190</v>
      </c>
      <c r="C2657" t="s">
        <v>1979</v>
      </c>
      <c r="E2657" t="s">
        <v>1129</v>
      </c>
      <c r="G2657" t="s">
        <v>89</v>
      </c>
      <c r="I2657" t="s">
        <v>2035</v>
      </c>
    </row>
    <row r="2658" spans="1:9" x14ac:dyDescent="0.3">
      <c r="A2658" t="s">
        <v>2191</v>
      </c>
      <c r="C2658" t="s">
        <v>1980</v>
      </c>
      <c r="E2658" t="s">
        <v>1130</v>
      </c>
      <c r="G2658" t="s">
        <v>2738</v>
      </c>
      <c r="I2658" t="s">
        <v>2029</v>
      </c>
    </row>
    <row r="2659" spans="1:9" x14ac:dyDescent="0.3">
      <c r="A2659" t="s">
        <v>2192</v>
      </c>
      <c r="C2659" t="s">
        <v>1981</v>
      </c>
      <c r="E2659" t="s">
        <v>1131</v>
      </c>
      <c r="G2659" t="s">
        <v>2739</v>
      </c>
      <c r="I2659" t="s">
        <v>2036</v>
      </c>
    </row>
    <row r="2660" spans="1:9" x14ac:dyDescent="0.3">
      <c r="A2660" t="s">
        <v>2193</v>
      </c>
      <c r="C2660" t="s">
        <v>1982</v>
      </c>
      <c r="E2660" t="s">
        <v>1132</v>
      </c>
      <c r="G2660" t="s">
        <v>2740</v>
      </c>
      <c r="I2660" t="s">
        <v>2037</v>
      </c>
    </row>
    <row r="2661" spans="1:9" x14ac:dyDescent="0.3">
      <c r="C2661" t="s">
        <v>1983</v>
      </c>
      <c r="E2661" t="s">
        <v>1133</v>
      </c>
      <c r="G2661" t="s">
        <v>2741</v>
      </c>
      <c r="I2661" t="s">
        <v>2038</v>
      </c>
    </row>
    <row r="2662" spans="1:9" x14ac:dyDescent="0.3">
      <c r="C2662" t="s">
        <v>1984</v>
      </c>
      <c r="E2662" t="s">
        <v>1134</v>
      </c>
      <c r="G2662" t="s">
        <v>2742</v>
      </c>
      <c r="I2662" t="s">
        <v>2035</v>
      </c>
    </row>
    <row r="2663" spans="1:9" x14ac:dyDescent="0.3">
      <c r="A2663" t="s">
        <v>2194</v>
      </c>
      <c r="C2663" t="s">
        <v>1985</v>
      </c>
      <c r="E2663" t="s">
        <v>1135</v>
      </c>
      <c r="G2663" t="s">
        <v>2743</v>
      </c>
      <c r="I2663" t="s">
        <v>2039</v>
      </c>
    </row>
    <row r="2664" spans="1:9" x14ac:dyDescent="0.3">
      <c r="A2664" t="s">
        <v>1911</v>
      </c>
      <c r="C2664" t="s">
        <v>1986</v>
      </c>
      <c r="E2664" t="s">
        <v>1138</v>
      </c>
      <c r="G2664" t="s">
        <v>2744</v>
      </c>
      <c r="I2664" t="s">
        <v>2040</v>
      </c>
    </row>
    <row r="2665" spans="1:9" x14ac:dyDescent="0.3">
      <c r="C2665" t="s">
        <v>1987</v>
      </c>
      <c r="E2665" t="s">
        <v>1139</v>
      </c>
      <c r="G2665" t="s">
        <v>2745</v>
      </c>
      <c r="I2665" t="s">
        <v>2041</v>
      </c>
    </row>
    <row r="2666" spans="1:9" x14ac:dyDescent="0.3">
      <c r="A2666" t="s">
        <v>2195</v>
      </c>
      <c r="C2666" t="s">
        <v>1988</v>
      </c>
      <c r="E2666" t="s">
        <v>1140</v>
      </c>
      <c r="G2666" t="s">
        <v>2746</v>
      </c>
      <c r="I2666" t="s">
        <v>2042</v>
      </c>
    </row>
    <row r="2667" spans="1:9" x14ac:dyDescent="0.3">
      <c r="A2667" t="s">
        <v>2196</v>
      </c>
      <c r="C2667" t="s">
        <v>1989</v>
      </c>
      <c r="E2667" t="s">
        <v>1141</v>
      </c>
      <c r="G2667" t="s">
        <v>2747</v>
      </c>
      <c r="I2667" t="s">
        <v>2043</v>
      </c>
    </row>
    <row r="2668" spans="1:9" x14ac:dyDescent="0.3">
      <c r="A2668" t="s">
        <v>2197</v>
      </c>
      <c r="C2668" t="s">
        <v>1990</v>
      </c>
      <c r="E2668" t="s">
        <v>1142</v>
      </c>
      <c r="I2668" t="s">
        <v>2044</v>
      </c>
    </row>
    <row r="2669" spans="1:9" x14ac:dyDescent="0.3">
      <c r="A2669" t="s">
        <v>2198</v>
      </c>
      <c r="C2669" t="s">
        <v>1992</v>
      </c>
      <c r="E2669" t="s">
        <v>1143</v>
      </c>
    </row>
    <row r="2670" spans="1:9" x14ac:dyDescent="0.3">
      <c r="A2670" t="s">
        <v>2199</v>
      </c>
      <c r="C2670" t="s">
        <v>3433</v>
      </c>
      <c r="E2670" t="s">
        <v>1144</v>
      </c>
      <c r="G2670" t="s">
        <v>1528</v>
      </c>
    </row>
    <row r="2671" spans="1:9" x14ac:dyDescent="0.3">
      <c r="A2671" t="s">
        <v>2200</v>
      </c>
      <c r="E2671" t="s">
        <v>1527</v>
      </c>
      <c r="G2671" t="s">
        <v>1911</v>
      </c>
      <c r="I2671" t="s">
        <v>2045</v>
      </c>
    </row>
    <row r="2672" spans="1:9" x14ac:dyDescent="0.3">
      <c r="A2672" t="s">
        <v>2201</v>
      </c>
      <c r="I2672" t="s">
        <v>1911</v>
      </c>
    </row>
    <row r="2673" spans="1:9" x14ac:dyDescent="0.3">
      <c r="A2673" t="s">
        <v>2202</v>
      </c>
      <c r="C2673" t="s">
        <v>1615</v>
      </c>
      <c r="G2673" t="s">
        <v>3203</v>
      </c>
    </row>
    <row r="2674" spans="1:9" x14ac:dyDescent="0.3">
      <c r="A2674" t="s">
        <v>2203</v>
      </c>
      <c r="C2674" t="s">
        <v>1911</v>
      </c>
      <c r="E2674" t="s">
        <v>1881</v>
      </c>
      <c r="I2674" t="s">
        <v>3250</v>
      </c>
    </row>
    <row r="2675" spans="1:9" x14ac:dyDescent="0.3">
      <c r="A2675" t="s">
        <v>2204</v>
      </c>
      <c r="E2675" t="s">
        <v>1503</v>
      </c>
      <c r="G2675" t="s">
        <v>2742</v>
      </c>
    </row>
    <row r="2676" spans="1:9" x14ac:dyDescent="0.3">
      <c r="A2676" t="s">
        <v>2205</v>
      </c>
      <c r="C2676" t="s">
        <v>3222</v>
      </c>
      <c r="G2676" t="s">
        <v>2743</v>
      </c>
      <c r="I2676" t="s">
        <v>2038</v>
      </c>
    </row>
    <row r="2677" spans="1:9" x14ac:dyDescent="0.3">
      <c r="A2677" t="s">
        <v>2206</v>
      </c>
      <c r="E2677" t="s">
        <v>3239</v>
      </c>
      <c r="G2677" t="s">
        <v>2744</v>
      </c>
      <c r="I2677" t="s">
        <v>2035</v>
      </c>
    </row>
    <row r="2678" spans="1:9" x14ac:dyDescent="0.3">
      <c r="A2678" t="s">
        <v>2207</v>
      </c>
      <c r="C2678" t="s">
        <v>1986</v>
      </c>
      <c r="G2678" t="s">
        <v>2745</v>
      </c>
      <c r="I2678" t="s">
        <v>2039</v>
      </c>
    </row>
    <row r="2679" spans="1:9" x14ac:dyDescent="0.3">
      <c r="A2679" t="s">
        <v>2208</v>
      </c>
      <c r="C2679" t="s">
        <v>1987</v>
      </c>
      <c r="E2679" t="s">
        <v>1146</v>
      </c>
      <c r="G2679" t="s">
        <v>2746</v>
      </c>
      <c r="I2679" t="s">
        <v>2040</v>
      </c>
    </row>
    <row r="2680" spans="1:9" x14ac:dyDescent="0.3">
      <c r="A2680" t="s">
        <v>2209</v>
      </c>
      <c r="C2680" t="s">
        <v>1988</v>
      </c>
      <c r="E2680" t="s">
        <v>1147</v>
      </c>
      <c r="G2680" t="s">
        <v>2747</v>
      </c>
      <c r="I2680" t="s">
        <v>2041</v>
      </c>
    </row>
    <row r="2681" spans="1:9" x14ac:dyDescent="0.3">
      <c r="A2681" t="s">
        <v>2210</v>
      </c>
      <c r="C2681" t="s">
        <v>1989</v>
      </c>
      <c r="E2681" t="s">
        <v>1148</v>
      </c>
      <c r="G2681" t="s">
        <v>2748</v>
      </c>
      <c r="I2681" t="s">
        <v>2042</v>
      </c>
    </row>
    <row r="2682" spans="1:9" x14ac:dyDescent="0.3">
      <c r="A2682" t="s">
        <v>2211</v>
      </c>
      <c r="C2682" t="s">
        <v>1990</v>
      </c>
      <c r="E2682" t="s">
        <v>1149</v>
      </c>
      <c r="G2682" t="s">
        <v>2749</v>
      </c>
      <c r="I2682" t="s">
        <v>2043</v>
      </c>
    </row>
    <row r="2683" spans="1:9" x14ac:dyDescent="0.3">
      <c r="A2683" t="s">
        <v>2212</v>
      </c>
      <c r="C2683" t="s">
        <v>1992</v>
      </c>
      <c r="E2683" t="s">
        <v>1150</v>
      </c>
      <c r="G2683" t="s">
        <v>2750</v>
      </c>
      <c r="I2683" t="s">
        <v>2044</v>
      </c>
    </row>
    <row r="2684" spans="1:9" x14ac:dyDescent="0.3">
      <c r="A2684" t="s">
        <v>2213</v>
      </c>
      <c r="C2684" t="s">
        <v>1993</v>
      </c>
      <c r="E2684" t="s">
        <v>3781</v>
      </c>
      <c r="G2684" t="s">
        <v>2751</v>
      </c>
      <c r="I2684" t="s">
        <v>2046</v>
      </c>
    </row>
    <row r="2685" spans="1:9" x14ac:dyDescent="0.3">
      <c r="A2685" t="s">
        <v>2214</v>
      </c>
      <c r="C2685" t="s">
        <v>1994</v>
      </c>
      <c r="E2685" t="s">
        <v>3782</v>
      </c>
      <c r="G2685" t="s">
        <v>2752</v>
      </c>
      <c r="I2685" t="s">
        <v>2047</v>
      </c>
    </row>
    <row r="2686" spans="1:9" x14ac:dyDescent="0.3">
      <c r="A2686" t="s">
        <v>2215</v>
      </c>
      <c r="C2686" t="s">
        <v>1995</v>
      </c>
      <c r="E2686" t="s">
        <v>1154</v>
      </c>
      <c r="G2686" t="s">
        <v>2753</v>
      </c>
      <c r="I2686" t="s">
        <v>2048</v>
      </c>
    </row>
    <row r="2687" spans="1:9" x14ac:dyDescent="0.3">
      <c r="A2687" t="s">
        <v>2216</v>
      </c>
      <c r="C2687" t="s">
        <v>1996</v>
      </c>
      <c r="E2687" t="s">
        <v>1155</v>
      </c>
      <c r="G2687" t="s">
        <v>2754</v>
      </c>
      <c r="I2687" t="s">
        <v>2049</v>
      </c>
    </row>
    <row r="2688" spans="1:9" x14ac:dyDescent="0.3">
      <c r="A2688" t="s">
        <v>2217</v>
      </c>
      <c r="C2688" t="s">
        <v>1997</v>
      </c>
      <c r="E2688" t="s">
        <v>1156</v>
      </c>
      <c r="G2688" t="s">
        <v>2755</v>
      </c>
      <c r="I2688" t="s">
        <v>2050</v>
      </c>
    </row>
    <row r="2689" spans="1:9" x14ac:dyDescent="0.3">
      <c r="A2689">
        <v>6</v>
      </c>
      <c r="C2689" t="s">
        <v>1998</v>
      </c>
      <c r="E2689" t="s">
        <v>3783</v>
      </c>
      <c r="G2689" t="s">
        <v>2756</v>
      </c>
      <c r="I2689" t="s">
        <v>2051</v>
      </c>
    </row>
    <row r="2690" spans="1:9" x14ac:dyDescent="0.3">
      <c r="A2690" t="s">
        <v>89</v>
      </c>
      <c r="C2690" t="s">
        <v>1999</v>
      </c>
      <c r="E2690" t="s">
        <v>1161</v>
      </c>
      <c r="G2690" t="s">
        <v>2757</v>
      </c>
      <c r="I2690" t="s">
        <v>2052</v>
      </c>
    </row>
    <row r="2691" spans="1:9" x14ac:dyDescent="0.3">
      <c r="A2691" t="s">
        <v>2218</v>
      </c>
      <c r="C2691" t="s">
        <v>2000</v>
      </c>
      <c r="E2691" t="s">
        <v>3784</v>
      </c>
      <c r="G2691" t="s">
        <v>2758</v>
      </c>
      <c r="I2691" t="s">
        <v>2053</v>
      </c>
    </row>
    <row r="2692" spans="1:9" x14ac:dyDescent="0.3">
      <c r="A2692" t="s">
        <v>2219</v>
      </c>
      <c r="C2692" t="s">
        <v>2001</v>
      </c>
      <c r="E2692" t="s">
        <v>1164</v>
      </c>
      <c r="G2692" t="s">
        <v>2759</v>
      </c>
      <c r="I2692" t="s">
        <v>2054</v>
      </c>
    </row>
    <row r="2693" spans="1:9" x14ac:dyDescent="0.3">
      <c r="A2693" t="s">
        <v>2220</v>
      </c>
      <c r="C2693" t="s">
        <v>2002</v>
      </c>
      <c r="E2693" t="s">
        <v>1165</v>
      </c>
      <c r="G2693" t="s">
        <v>2760</v>
      </c>
      <c r="I2693" t="s">
        <v>2055</v>
      </c>
    </row>
    <row r="2694" spans="1:9" x14ac:dyDescent="0.3">
      <c r="A2694" t="s">
        <v>2221</v>
      </c>
      <c r="C2694" t="s">
        <v>2003</v>
      </c>
      <c r="E2694" t="s">
        <v>1166</v>
      </c>
      <c r="G2694" t="s">
        <v>2761</v>
      </c>
      <c r="I2694" t="s">
        <v>2056</v>
      </c>
    </row>
    <row r="2695" spans="1:9" x14ac:dyDescent="0.3">
      <c r="A2695" t="s">
        <v>2222</v>
      </c>
      <c r="C2695" t="e">
        <f>- impianti di sollevamento di persone o di cose per mezzo di</f>
        <v>#NAME?</v>
      </c>
      <c r="E2695" t="s">
        <v>1531</v>
      </c>
      <c r="G2695" t="s">
        <v>2762</v>
      </c>
      <c r="I2695" t="s">
        <v>2057</v>
      </c>
    </row>
    <row r="2696" spans="1:9" x14ac:dyDescent="0.3">
      <c r="A2696" t="s">
        <v>2223</v>
      </c>
      <c r="C2696" t="s">
        <v>2004</v>
      </c>
      <c r="G2696" t="s">
        <v>2763</v>
      </c>
      <c r="I2696" t="s">
        <v>2058</v>
      </c>
    </row>
    <row r="2697" spans="1:9" x14ac:dyDescent="0.3">
      <c r="A2697" t="s">
        <v>2224</v>
      </c>
      <c r="C2697" t="s">
        <v>2005</v>
      </c>
      <c r="G2697" t="s">
        <v>2764</v>
      </c>
      <c r="I2697" t="s">
        <v>2059</v>
      </c>
    </row>
    <row r="2698" spans="1:9" x14ac:dyDescent="0.3">
      <c r="A2698" t="s">
        <v>2225</v>
      </c>
      <c r="C2698" t="s">
        <v>2006</v>
      </c>
      <c r="E2698" t="s">
        <v>1887</v>
      </c>
      <c r="G2698" t="s">
        <v>2765</v>
      </c>
      <c r="I2698" t="s">
        <v>2060</v>
      </c>
    </row>
    <row r="2699" spans="1:9" x14ac:dyDescent="0.3">
      <c r="A2699" t="s">
        <v>2226</v>
      </c>
      <c r="C2699" t="s">
        <v>2007</v>
      </c>
      <c r="E2699" t="s">
        <v>1503</v>
      </c>
      <c r="G2699" t="s">
        <v>3463</v>
      </c>
      <c r="I2699" t="s">
        <v>2061</v>
      </c>
    </row>
    <row r="2700" spans="1:9" x14ac:dyDescent="0.3">
      <c r="A2700" t="s">
        <v>2227</v>
      </c>
      <c r="C2700" t="s">
        <v>2008</v>
      </c>
      <c r="G2700" t="s">
        <v>2768</v>
      </c>
      <c r="I2700">
        <v>3</v>
      </c>
    </row>
    <row r="2701" spans="1:9" x14ac:dyDescent="0.3">
      <c r="C2701" t="e">
        <f>-  riparazioni di alimentazioni per autoveicoli a combustione</f>
        <v>#NAME?</v>
      </c>
      <c r="E2701" t="s">
        <v>3240</v>
      </c>
      <c r="G2701" t="s">
        <v>2769</v>
      </c>
      <c r="I2701" t="s">
        <v>89</v>
      </c>
    </row>
    <row r="2702" spans="1:9" x14ac:dyDescent="0.3">
      <c r="C2702" t="s">
        <v>2009</v>
      </c>
      <c r="G2702" t="s">
        <v>2770</v>
      </c>
      <c r="I2702" t="s">
        <v>2062</v>
      </c>
    </row>
    <row r="2703" spans="1:9" x14ac:dyDescent="0.3">
      <c r="A2703" t="s">
        <v>2228</v>
      </c>
      <c r="C2703" t="s">
        <v>2010</v>
      </c>
      <c r="E2703" t="s">
        <v>1168</v>
      </c>
      <c r="G2703" t="s">
        <v>2771</v>
      </c>
      <c r="I2703" t="s">
        <v>2063</v>
      </c>
    </row>
    <row r="2704" spans="1:9" x14ac:dyDescent="0.3">
      <c r="A2704" t="s">
        <v>1911</v>
      </c>
      <c r="C2704" t="s">
        <v>2011</v>
      </c>
      <c r="E2704" t="s">
        <v>1169</v>
      </c>
      <c r="G2704" t="s">
        <v>2772</v>
      </c>
      <c r="I2704" t="s">
        <v>2064</v>
      </c>
    </row>
    <row r="2705" spans="1:9" x14ac:dyDescent="0.3">
      <c r="C2705">
        <v>2</v>
      </c>
      <c r="E2705" t="s">
        <v>1170</v>
      </c>
      <c r="G2705" t="s">
        <v>2773</v>
      </c>
      <c r="I2705" t="s">
        <v>2065</v>
      </c>
    </row>
    <row r="2706" spans="1:9" x14ac:dyDescent="0.3">
      <c r="A2706" t="s">
        <v>2220</v>
      </c>
      <c r="C2706" t="s">
        <v>89</v>
      </c>
      <c r="E2706" t="s">
        <v>1171</v>
      </c>
      <c r="G2706" t="s">
        <v>2774</v>
      </c>
      <c r="I2706" t="s">
        <v>2066</v>
      </c>
    </row>
    <row r="2707" spans="1:9" x14ac:dyDescent="0.3">
      <c r="A2707" t="s">
        <v>2221</v>
      </c>
      <c r="C2707" t="s">
        <v>2012</v>
      </c>
      <c r="E2707" t="s">
        <v>1172</v>
      </c>
      <c r="G2707" t="s">
        <v>2775</v>
      </c>
      <c r="I2707" t="s">
        <v>2067</v>
      </c>
    </row>
    <row r="2708" spans="1:9" x14ac:dyDescent="0.3">
      <c r="A2708" t="s">
        <v>2222</v>
      </c>
      <c r="C2708" t="s">
        <v>2013</v>
      </c>
      <c r="E2708" t="s">
        <v>1173</v>
      </c>
      <c r="G2708" t="s">
        <v>2776</v>
      </c>
      <c r="I2708" t="s">
        <v>2068</v>
      </c>
    </row>
    <row r="2709" spans="1:9" x14ac:dyDescent="0.3">
      <c r="A2709" t="s">
        <v>2223</v>
      </c>
      <c r="C2709" t="s">
        <v>2014</v>
      </c>
      <c r="E2709" t="s">
        <v>3785</v>
      </c>
      <c r="G2709" t="s">
        <v>2777</v>
      </c>
      <c r="I2709" t="s">
        <v>2069</v>
      </c>
    </row>
    <row r="2710" spans="1:9" x14ac:dyDescent="0.3">
      <c r="A2710" t="s">
        <v>2224</v>
      </c>
      <c r="C2710" t="s">
        <v>2017</v>
      </c>
      <c r="E2710" t="s">
        <v>3786</v>
      </c>
      <c r="G2710" t="s">
        <v>2778</v>
      </c>
      <c r="I2710" t="s">
        <v>2070</v>
      </c>
    </row>
    <row r="2711" spans="1:9" x14ac:dyDescent="0.3">
      <c r="A2711" t="s">
        <v>2225</v>
      </c>
      <c r="C2711" t="s">
        <v>2018</v>
      </c>
      <c r="E2711" t="s">
        <v>1180</v>
      </c>
      <c r="G2711">
        <v>17</v>
      </c>
      <c r="I2711" t="s">
        <v>2071</v>
      </c>
    </row>
    <row r="2712" spans="1:9" x14ac:dyDescent="0.3">
      <c r="A2712" t="s">
        <v>2226</v>
      </c>
      <c r="C2712" t="s">
        <v>2019</v>
      </c>
      <c r="E2712" t="s">
        <v>1181</v>
      </c>
    </row>
    <row r="2713" spans="1:9" x14ac:dyDescent="0.3">
      <c r="A2713" t="s">
        <v>2227</v>
      </c>
      <c r="C2713" t="s">
        <v>3434</v>
      </c>
      <c r="E2713" t="s">
        <v>3787</v>
      </c>
    </row>
    <row r="2714" spans="1:9" x14ac:dyDescent="0.3">
      <c r="A2714" t="s">
        <v>2229</v>
      </c>
      <c r="E2714" t="s">
        <v>1184</v>
      </c>
      <c r="G2714" t="s">
        <v>1530</v>
      </c>
      <c r="I2714" t="s">
        <v>2072</v>
      </c>
    </row>
    <row r="2715" spans="1:9" x14ac:dyDescent="0.3">
      <c r="A2715" t="s">
        <v>2230</v>
      </c>
      <c r="E2715" t="s">
        <v>1185</v>
      </c>
      <c r="G2715" t="s">
        <v>1911</v>
      </c>
      <c r="I2715" t="s">
        <v>1911</v>
      </c>
    </row>
    <row r="2716" spans="1:9" x14ac:dyDescent="0.3">
      <c r="A2716" t="s">
        <v>2231</v>
      </c>
      <c r="C2716" t="s">
        <v>1637</v>
      </c>
      <c r="E2716" t="s">
        <v>1186</v>
      </c>
    </row>
    <row r="2717" spans="1:9" x14ac:dyDescent="0.3">
      <c r="A2717" t="s">
        <v>2232</v>
      </c>
      <c r="C2717" t="s">
        <v>1911</v>
      </c>
      <c r="E2717" t="s">
        <v>3788</v>
      </c>
      <c r="G2717" t="s">
        <v>3204</v>
      </c>
      <c r="I2717" t="s">
        <v>3251</v>
      </c>
    </row>
    <row r="2718" spans="1:9" x14ac:dyDescent="0.3">
      <c r="A2718" t="s">
        <v>2233</v>
      </c>
      <c r="E2718" t="s">
        <v>1189</v>
      </c>
    </row>
    <row r="2719" spans="1:9" x14ac:dyDescent="0.3">
      <c r="A2719" t="s">
        <v>2234</v>
      </c>
      <c r="C2719" t="s">
        <v>3223</v>
      </c>
      <c r="E2719" t="s">
        <v>1190</v>
      </c>
      <c r="G2719" t="s">
        <v>2771</v>
      </c>
      <c r="I2719" t="s">
        <v>2064</v>
      </c>
    </row>
    <row r="2720" spans="1:9" x14ac:dyDescent="0.3">
      <c r="A2720" t="s">
        <v>2235</v>
      </c>
      <c r="E2720" t="s">
        <v>1515</v>
      </c>
      <c r="G2720" t="s">
        <v>2772</v>
      </c>
      <c r="I2720" t="s">
        <v>2065</v>
      </c>
    </row>
    <row r="2721" spans="1:9" x14ac:dyDescent="0.3">
      <c r="A2721" t="s">
        <v>2236</v>
      </c>
      <c r="C2721">
        <v>2</v>
      </c>
      <c r="G2721" t="s">
        <v>2773</v>
      </c>
      <c r="I2721" t="s">
        <v>2066</v>
      </c>
    </row>
    <row r="2722" spans="1:9" x14ac:dyDescent="0.3">
      <c r="A2722" t="s">
        <v>2237</v>
      </c>
      <c r="C2722" t="s">
        <v>89</v>
      </c>
      <c r="G2722" t="s">
        <v>2774</v>
      </c>
      <c r="I2722" t="s">
        <v>2067</v>
      </c>
    </row>
    <row r="2723" spans="1:9" x14ac:dyDescent="0.3">
      <c r="A2723" t="s">
        <v>2238</v>
      </c>
      <c r="C2723" t="s">
        <v>2012</v>
      </c>
      <c r="E2723" t="s">
        <v>1892</v>
      </c>
      <c r="G2723" t="s">
        <v>2775</v>
      </c>
      <c r="I2723" t="s">
        <v>2068</v>
      </c>
    </row>
    <row r="2724" spans="1:9" x14ac:dyDescent="0.3">
      <c r="A2724" t="s">
        <v>2239</v>
      </c>
      <c r="C2724" t="s">
        <v>2013</v>
      </c>
      <c r="E2724" t="s">
        <v>1503</v>
      </c>
      <c r="G2724" t="s">
        <v>2776</v>
      </c>
      <c r="I2724" t="s">
        <v>2069</v>
      </c>
    </row>
    <row r="2725" spans="1:9" x14ac:dyDescent="0.3">
      <c r="A2725" t="s">
        <v>2240</v>
      </c>
      <c r="C2725" t="s">
        <v>2014</v>
      </c>
      <c r="G2725" t="s">
        <v>2777</v>
      </c>
      <c r="I2725" t="s">
        <v>2070</v>
      </c>
    </row>
    <row r="2726" spans="1:9" x14ac:dyDescent="0.3">
      <c r="A2726" t="s">
        <v>2241</v>
      </c>
      <c r="C2726" t="s">
        <v>2017</v>
      </c>
      <c r="E2726" t="s">
        <v>3241</v>
      </c>
      <c r="G2726" t="s">
        <v>2778</v>
      </c>
      <c r="I2726" t="s">
        <v>2071</v>
      </c>
    </row>
    <row r="2727" spans="1:9" x14ac:dyDescent="0.3">
      <c r="A2727" t="s">
        <v>2242</v>
      </c>
      <c r="C2727" t="s">
        <v>2018</v>
      </c>
      <c r="G2727">
        <v>17</v>
      </c>
      <c r="I2727" t="s">
        <v>2073</v>
      </c>
    </row>
    <row r="2728" spans="1:9" x14ac:dyDescent="0.3">
      <c r="A2728" t="s">
        <v>2243</v>
      </c>
      <c r="C2728" t="s">
        <v>2019</v>
      </c>
      <c r="E2728" t="s">
        <v>3789</v>
      </c>
      <c r="G2728" t="s">
        <v>89</v>
      </c>
      <c r="I2728" t="s">
        <v>2074</v>
      </c>
    </row>
    <row r="2729" spans="1:9" x14ac:dyDescent="0.3">
      <c r="A2729" t="s">
        <v>2244</v>
      </c>
      <c r="C2729" t="s">
        <v>2020</v>
      </c>
      <c r="E2729" t="s">
        <v>1192</v>
      </c>
      <c r="G2729" t="s">
        <v>2779</v>
      </c>
      <c r="I2729" t="s">
        <v>2075</v>
      </c>
    </row>
    <row r="2730" spans="1:9" x14ac:dyDescent="0.3">
      <c r="A2730" t="s">
        <v>2245</v>
      </c>
      <c r="C2730" t="s">
        <v>2021</v>
      </c>
      <c r="E2730" t="s">
        <v>1193</v>
      </c>
      <c r="G2730" t="s">
        <v>2780</v>
      </c>
      <c r="I2730" t="e">
        <f>- la società si propone di realizzare il fine sociale anche</f>
        <v>#NAME?</v>
      </c>
    </row>
    <row r="2731" spans="1:9" x14ac:dyDescent="0.3">
      <c r="A2731" t="s">
        <v>2246</v>
      </c>
      <c r="C2731" t="s">
        <v>2022</v>
      </c>
      <c r="E2731" t="s">
        <v>3790</v>
      </c>
      <c r="G2731" t="s">
        <v>2781</v>
      </c>
      <c r="I2731" t="s">
        <v>2076</v>
      </c>
    </row>
    <row r="2732" spans="1:9" x14ac:dyDescent="0.3">
      <c r="A2732" t="s">
        <v>2247</v>
      </c>
      <c r="C2732" t="s">
        <v>2023</v>
      </c>
      <c r="E2732" t="s">
        <v>1196</v>
      </c>
      <c r="G2732" t="s">
        <v>2782</v>
      </c>
      <c r="I2732" t="s">
        <v>2077</v>
      </c>
    </row>
    <row r="2733" spans="1:9" x14ac:dyDescent="0.3">
      <c r="A2733" t="s">
        <v>2248</v>
      </c>
      <c r="C2733" t="s">
        <v>2024</v>
      </c>
      <c r="E2733" t="s">
        <v>1197</v>
      </c>
      <c r="G2733" t="s">
        <v>2783</v>
      </c>
      <c r="I2733" t="s">
        <v>2078</v>
      </c>
    </row>
    <row r="2734" spans="1:9" x14ac:dyDescent="0.3">
      <c r="A2734" t="s">
        <v>2249</v>
      </c>
      <c r="C2734" t="s">
        <v>2025</v>
      </c>
      <c r="E2734" t="s">
        <v>1198</v>
      </c>
      <c r="I2734" t="s">
        <v>2079</v>
      </c>
    </row>
    <row r="2735" spans="1:9" x14ac:dyDescent="0.3">
      <c r="A2735" t="s">
        <v>2250</v>
      </c>
      <c r="C2735" t="s">
        <v>2026</v>
      </c>
      <c r="E2735" t="s">
        <v>3791</v>
      </c>
      <c r="I2735" t="s">
        <v>2080</v>
      </c>
    </row>
    <row r="2736" spans="1:9" x14ac:dyDescent="0.3">
      <c r="A2736" t="s">
        <v>2251</v>
      </c>
      <c r="C2736" t="s">
        <v>2027</v>
      </c>
      <c r="E2736" t="s">
        <v>1201</v>
      </c>
      <c r="G2736" t="s">
        <v>1532</v>
      </c>
      <c r="I2736" t="s">
        <v>2081</v>
      </c>
    </row>
    <row r="2737" spans="1:9" x14ac:dyDescent="0.3">
      <c r="A2737" t="s">
        <v>2252</v>
      </c>
      <c r="C2737" t="s">
        <v>2028</v>
      </c>
      <c r="E2737" t="s">
        <v>1204</v>
      </c>
      <c r="G2737" t="s">
        <v>1503</v>
      </c>
      <c r="I2737" t="s">
        <v>2082</v>
      </c>
    </row>
    <row r="2738" spans="1:9" x14ac:dyDescent="0.3">
      <c r="C2738" t="s">
        <v>2029</v>
      </c>
      <c r="E2738" t="s">
        <v>1205</v>
      </c>
      <c r="I2738" t="s">
        <v>2083</v>
      </c>
    </row>
    <row r="2739" spans="1:9" x14ac:dyDescent="0.3">
      <c r="C2739" t="s">
        <v>2030</v>
      </c>
      <c r="E2739" t="s">
        <v>1206</v>
      </c>
      <c r="G2739" t="s">
        <v>3205</v>
      </c>
      <c r="I2739" t="s">
        <v>2084</v>
      </c>
    </row>
    <row r="2740" spans="1:9" x14ac:dyDescent="0.3">
      <c r="A2740" t="s">
        <v>2253</v>
      </c>
      <c r="C2740" t="s">
        <v>2031</v>
      </c>
      <c r="E2740" t="s">
        <v>1207</v>
      </c>
      <c r="I2740" t="s">
        <v>2085</v>
      </c>
    </row>
    <row r="2741" spans="1:9" x14ac:dyDescent="0.3">
      <c r="A2741" t="s">
        <v>1911</v>
      </c>
      <c r="C2741" t="s">
        <v>2032</v>
      </c>
      <c r="E2741" t="s">
        <v>1208</v>
      </c>
      <c r="G2741" t="s">
        <v>3408</v>
      </c>
      <c r="I2741" t="s">
        <v>2086</v>
      </c>
    </row>
    <row r="2742" spans="1:9" x14ac:dyDescent="0.3">
      <c r="C2742" t="s">
        <v>2029</v>
      </c>
      <c r="E2742" t="s">
        <v>1209</v>
      </c>
      <c r="G2742" t="s">
        <v>735</v>
      </c>
      <c r="I2742" t="s">
        <v>2087</v>
      </c>
    </row>
    <row r="2743" spans="1:9" x14ac:dyDescent="0.3">
      <c r="A2743" t="s">
        <v>2246</v>
      </c>
      <c r="C2743" t="s">
        <v>2033</v>
      </c>
      <c r="E2743" t="s">
        <v>1210</v>
      </c>
      <c r="G2743" t="s">
        <v>736</v>
      </c>
      <c r="I2743" t="s">
        <v>2088</v>
      </c>
    </row>
    <row r="2744" spans="1:9" x14ac:dyDescent="0.3">
      <c r="A2744" t="s">
        <v>2247</v>
      </c>
      <c r="C2744" t="s">
        <v>2034</v>
      </c>
      <c r="E2744" t="s">
        <v>1211</v>
      </c>
      <c r="G2744" t="s">
        <v>737</v>
      </c>
      <c r="I2744" t="s">
        <v>2089</v>
      </c>
    </row>
    <row r="2745" spans="1:9" x14ac:dyDescent="0.3">
      <c r="A2745" t="s">
        <v>2248</v>
      </c>
      <c r="C2745" t="s">
        <v>2035</v>
      </c>
      <c r="E2745" t="s">
        <v>1212</v>
      </c>
      <c r="G2745" t="s">
        <v>738</v>
      </c>
      <c r="I2745" t="s">
        <v>2090</v>
      </c>
    </row>
    <row r="2746" spans="1:9" x14ac:dyDescent="0.3">
      <c r="A2746" t="s">
        <v>2249</v>
      </c>
      <c r="C2746" t="s">
        <v>2029</v>
      </c>
      <c r="E2746" t="s">
        <v>1213</v>
      </c>
      <c r="G2746" t="s">
        <v>739</v>
      </c>
      <c r="I2746" t="s">
        <v>2091</v>
      </c>
    </row>
    <row r="2747" spans="1:9" x14ac:dyDescent="0.3">
      <c r="A2747" t="s">
        <v>2250</v>
      </c>
      <c r="C2747" t="s">
        <v>2036</v>
      </c>
      <c r="E2747" t="s">
        <v>1214</v>
      </c>
      <c r="G2747" t="s">
        <v>740</v>
      </c>
      <c r="I2747" t="s">
        <v>2092</v>
      </c>
    </row>
    <row r="2748" spans="1:9" x14ac:dyDescent="0.3">
      <c r="A2748" t="s">
        <v>2251</v>
      </c>
      <c r="C2748" t="s">
        <v>2037</v>
      </c>
      <c r="E2748" t="s">
        <v>89</v>
      </c>
      <c r="G2748" t="s">
        <v>741</v>
      </c>
      <c r="I2748" t="s">
        <v>2093</v>
      </c>
    </row>
    <row r="2749" spans="1:9" x14ac:dyDescent="0.3">
      <c r="A2749" t="s">
        <v>2252</v>
      </c>
      <c r="C2749" t="s">
        <v>2038</v>
      </c>
      <c r="E2749" t="s">
        <v>1537</v>
      </c>
      <c r="G2749" t="s">
        <v>742</v>
      </c>
      <c r="I2749" t="s">
        <v>2094</v>
      </c>
    </row>
    <row r="2750" spans="1:9" x14ac:dyDescent="0.3">
      <c r="A2750" t="s">
        <v>2254</v>
      </c>
      <c r="C2750" t="s">
        <v>2035</v>
      </c>
      <c r="G2750" t="s">
        <v>743</v>
      </c>
      <c r="I2750" t="s">
        <v>2095</v>
      </c>
    </row>
    <row r="2751" spans="1:9" x14ac:dyDescent="0.3">
      <c r="A2751" t="s">
        <v>2255</v>
      </c>
      <c r="C2751" t="s">
        <v>2039</v>
      </c>
      <c r="G2751" t="s">
        <v>744</v>
      </c>
    </row>
    <row r="2752" spans="1:9" x14ac:dyDescent="0.3">
      <c r="A2752" t="s">
        <v>2256</v>
      </c>
      <c r="C2752" t="s">
        <v>2040</v>
      </c>
      <c r="E2752" t="s">
        <v>1897</v>
      </c>
      <c r="G2752" t="s">
        <v>745</v>
      </c>
    </row>
    <row r="2753" spans="1:9" x14ac:dyDescent="0.3">
      <c r="A2753" t="s">
        <v>2257</v>
      </c>
      <c r="C2753" t="s">
        <v>2041</v>
      </c>
      <c r="E2753" t="s">
        <v>1503</v>
      </c>
      <c r="G2753" t="s">
        <v>746</v>
      </c>
      <c r="I2753" t="s">
        <v>2096</v>
      </c>
    </row>
    <row r="2754" spans="1:9" x14ac:dyDescent="0.3">
      <c r="A2754" t="s">
        <v>2258</v>
      </c>
      <c r="C2754" t="s">
        <v>2042</v>
      </c>
      <c r="G2754" t="s">
        <v>747</v>
      </c>
      <c r="I2754" t="s">
        <v>1911</v>
      </c>
    </row>
    <row r="2755" spans="1:9" x14ac:dyDescent="0.3">
      <c r="A2755" t="s">
        <v>2259</v>
      </c>
      <c r="C2755" t="s">
        <v>2043</v>
      </c>
      <c r="E2755" t="s">
        <v>3242</v>
      </c>
      <c r="G2755" t="s">
        <v>748</v>
      </c>
    </row>
    <row r="2756" spans="1:9" x14ac:dyDescent="0.3">
      <c r="A2756" t="s">
        <v>2260</v>
      </c>
      <c r="C2756" t="s">
        <v>2044</v>
      </c>
      <c r="G2756" t="s">
        <v>749</v>
      </c>
      <c r="I2756" t="s">
        <v>3252</v>
      </c>
    </row>
    <row r="2757" spans="1:9" x14ac:dyDescent="0.3">
      <c r="A2757" t="s">
        <v>2261</v>
      </c>
      <c r="C2757" t="s">
        <v>2046</v>
      </c>
      <c r="E2757" t="s">
        <v>1216</v>
      </c>
      <c r="G2757" t="s">
        <v>750</v>
      </c>
    </row>
    <row r="2758" spans="1:9" x14ac:dyDescent="0.3">
      <c r="A2758" t="s">
        <v>2262</v>
      </c>
      <c r="C2758" t="s">
        <v>3435</v>
      </c>
      <c r="E2758" t="s">
        <v>1217</v>
      </c>
      <c r="G2758" t="s">
        <v>751</v>
      </c>
      <c r="I2758" t="s">
        <v>2097</v>
      </c>
    </row>
    <row r="2759" spans="1:9" x14ac:dyDescent="0.3">
      <c r="A2759" t="s">
        <v>2263</v>
      </c>
      <c r="E2759" t="s">
        <v>1218</v>
      </c>
      <c r="G2759" t="s">
        <v>752</v>
      </c>
      <c r="I2759" t="s">
        <v>2098</v>
      </c>
    </row>
    <row r="2760" spans="1:9" x14ac:dyDescent="0.3">
      <c r="A2760" t="s">
        <v>2264</v>
      </c>
      <c r="E2760" t="s">
        <v>1219</v>
      </c>
      <c r="G2760" t="s">
        <v>753</v>
      </c>
      <c r="I2760" t="s">
        <v>2099</v>
      </c>
    </row>
    <row r="2761" spans="1:9" x14ac:dyDescent="0.3">
      <c r="A2761" t="s">
        <v>2265</v>
      </c>
      <c r="C2761" t="s">
        <v>1660</v>
      </c>
      <c r="E2761" t="s">
        <v>1220</v>
      </c>
      <c r="G2761" t="s">
        <v>754</v>
      </c>
      <c r="I2761" t="s">
        <v>2100</v>
      </c>
    </row>
    <row r="2762" spans="1:9" x14ac:dyDescent="0.3">
      <c r="A2762" t="s">
        <v>2266</v>
      </c>
      <c r="C2762" t="s">
        <v>1911</v>
      </c>
      <c r="E2762" t="s">
        <v>1221</v>
      </c>
      <c r="G2762" t="s">
        <v>755</v>
      </c>
    </row>
    <row r="2763" spans="1:9" x14ac:dyDescent="0.3">
      <c r="A2763" t="s">
        <v>2267</v>
      </c>
      <c r="E2763" t="s">
        <v>1222</v>
      </c>
      <c r="G2763" t="s">
        <v>756</v>
      </c>
    </row>
    <row r="2764" spans="1:9" x14ac:dyDescent="0.3">
      <c r="A2764" t="s">
        <v>2268</v>
      </c>
      <c r="C2764" t="s">
        <v>3224</v>
      </c>
      <c r="E2764" t="s">
        <v>1223</v>
      </c>
      <c r="G2764" t="s">
        <v>757</v>
      </c>
      <c r="I2764" t="s">
        <v>2101</v>
      </c>
    </row>
    <row r="2765" spans="1:9" x14ac:dyDescent="0.3">
      <c r="A2765" t="s">
        <v>2269</v>
      </c>
      <c r="E2765" t="s">
        <v>1224</v>
      </c>
      <c r="G2765" t="s">
        <v>758</v>
      </c>
      <c r="I2765" t="s">
        <v>1911</v>
      </c>
    </row>
    <row r="2766" spans="1:9" x14ac:dyDescent="0.3">
      <c r="A2766">
        <v>7</v>
      </c>
      <c r="C2766" t="s">
        <v>2035</v>
      </c>
      <c r="E2766" t="s">
        <v>1227</v>
      </c>
      <c r="G2766" t="s">
        <v>759</v>
      </c>
    </row>
    <row r="2767" spans="1:9" x14ac:dyDescent="0.3">
      <c r="A2767" t="s">
        <v>89</v>
      </c>
      <c r="C2767" t="s">
        <v>2039</v>
      </c>
      <c r="E2767" t="s">
        <v>1228</v>
      </c>
      <c r="G2767" t="s">
        <v>762</v>
      </c>
      <c r="I2767" t="s">
        <v>3253</v>
      </c>
    </row>
    <row r="2768" spans="1:9" x14ac:dyDescent="0.3">
      <c r="A2768" t="s">
        <v>2270</v>
      </c>
      <c r="C2768" t="s">
        <v>2040</v>
      </c>
      <c r="E2768" t="s">
        <v>1229</v>
      </c>
      <c r="G2768" t="s">
        <v>763</v>
      </c>
    </row>
    <row r="2769" spans="1:9" x14ac:dyDescent="0.3">
      <c r="A2769" t="s">
        <v>2271</v>
      </c>
      <c r="C2769" t="s">
        <v>2041</v>
      </c>
      <c r="E2769" t="s">
        <v>1230</v>
      </c>
      <c r="G2769" t="s">
        <v>764</v>
      </c>
      <c r="I2769" t="s">
        <v>2102</v>
      </c>
    </row>
    <row r="2770" spans="1:9" x14ac:dyDescent="0.3">
      <c r="A2770" t="s">
        <v>2272</v>
      </c>
      <c r="C2770" t="s">
        <v>2042</v>
      </c>
      <c r="E2770" t="s">
        <v>1231</v>
      </c>
      <c r="G2770" t="s">
        <v>765</v>
      </c>
      <c r="I2770" t="s">
        <v>2103</v>
      </c>
    </row>
    <row r="2771" spans="1:9" x14ac:dyDescent="0.3">
      <c r="A2771" t="s">
        <v>2273</v>
      </c>
      <c r="C2771" t="s">
        <v>2043</v>
      </c>
      <c r="E2771" t="s">
        <v>1232</v>
      </c>
      <c r="G2771" t="s">
        <v>766</v>
      </c>
      <c r="I2771" t="s">
        <v>2104</v>
      </c>
    </row>
    <row r="2772" spans="1:9" x14ac:dyDescent="0.3">
      <c r="A2772" t="s">
        <v>2274</v>
      </c>
      <c r="C2772" t="s">
        <v>2044</v>
      </c>
      <c r="E2772" t="s">
        <v>3792</v>
      </c>
      <c r="G2772" t="s">
        <v>767</v>
      </c>
      <c r="I2772" t="s">
        <v>2105</v>
      </c>
    </row>
    <row r="2773" spans="1:9" x14ac:dyDescent="0.3">
      <c r="A2773" t="s">
        <v>2275</v>
      </c>
      <c r="C2773" t="s">
        <v>2046</v>
      </c>
      <c r="G2773" t="s">
        <v>3969</v>
      </c>
      <c r="I2773" t="s">
        <v>2106</v>
      </c>
    </row>
    <row r="2774" spans="1:9" x14ac:dyDescent="0.3">
      <c r="A2774" t="s">
        <v>2276</v>
      </c>
      <c r="C2774" t="s">
        <v>2047</v>
      </c>
      <c r="I2774" t="s">
        <v>2107</v>
      </c>
    </row>
    <row r="2775" spans="1:9" x14ac:dyDescent="0.3">
      <c r="A2775" t="s">
        <v>2277</v>
      </c>
      <c r="C2775" t="s">
        <v>2048</v>
      </c>
      <c r="E2775" t="s">
        <v>1910</v>
      </c>
      <c r="I2775" t="s">
        <v>2108</v>
      </c>
    </row>
    <row r="2776" spans="1:9" x14ac:dyDescent="0.3">
      <c r="A2776" t="s">
        <v>2278</v>
      </c>
      <c r="C2776" t="s">
        <v>2049</v>
      </c>
      <c r="E2776" t="s">
        <v>1503</v>
      </c>
      <c r="G2776" t="s">
        <v>1534</v>
      </c>
      <c r="I2776" t="s">
        <v>2109</v>
      </c>
    </row>
    <row r="2777" spans="1:9" x14ac:dyDescent="0.3">
      <c r="C2777" t="s">
        <v>2050</v>
      </c>
      <c r="G2777" t="s">
        <v>1503</v>
      </c>
      <c r="I2777" t="s">
        <v>2110</v>
      </c>
    </row>
    <row r="2778" spans="1:9" x14ac:dyDescent="0.3">
      <c r="C2778" t="s">
        <v>2051</v>
      </c>
      <c r="E2778" t="s">
        <v>3243</v>
      </c>
      <c r="I2778" t="s">
        <v>2111</v>
      </c>
    </row>
    <row r="2779" spans="1:9" x14ac:dyDescent="0.3">
      <c r="A2779" t="s">
        <v>2279</v>
      </c>
      <c r="C2779" t="s">
        <v>2052</v>
      </c>
      <c r="G2779" t="s">
        <v>3206</v>
      </c>
      <c r="I2779" t="s">
        <v>2112</v>
      </c>
    </row>
    <row r="2780" spans="1:9" x14ac:dyDescent="0.3">
      <c r="A2780" t="s">
        <v>1911</v>
      </c>
      <c r="C2780" t="s">
        <v>2053</v>
      </c>
      <c r="E2780" t="s">
        <v>3793</v>
      </c>
      <c r="I2780" t="s">
        <v>2113</v>
      </c>
    </row>
    <row r="2781" spans="1:9" x14ac:dyDescent="0.3">
      <c r="C2781" t="s">
        <v>2054</v>
      </c>
      <c r="E2781" t="s">
        <v>1234</v>
      </c>
      <c r="G2781" t="s">
        <v>764</v>
      </c>
      <c r="I2781">
        <v>4</v>
      </c>
    </row>
    <row r="2782" spans="1:9" x14ac:dyDescent="0.3">
      <c r="A2782" t="s">
        <v>2271</v>
      </c>
      <c r="C2782" t="s">
        <v>2055</v>
      </c>
      <c r="E2782" t="s">
        <v>1235</v>
      </c>
      <c r="G2782" t="s">
        <v>765</v>
      </c>
      <c r="I2782" t="s">
        <v>89</v>
      </c>
    </row>
    <row r="2783" spans="1:9" x14ac:dyDescent="0.3">
      <c r="A2783" t="s">
        <v>2272</v>
      </c>
      <c r="C2783" t="s">
        <v>2056</v>
      </c>
      <c r="E2783" t="s">
        <v>1236</v>
      </c>
      <c r="G2783" t="s">
        <v>766</v>
      </c>
      <c r="I2783" t="s">
        <v>2114</v>
      </c>
    </row>
    <row r="2784" spans="1:9" x14ac:dyDescent="0.3">
      <c r="A2784" t="s">
        <v>2273</v>
      </c>
      <c r="C2784" t="s">
        <v>2057</v>
      </c>
      <c r="E2784" t="s">
        <v>1237</v>
      </c>
      <c r="G2784" t="s">
        <v>767</v>
      </c>
      <c r="I2784" t="s">
        <v>2115</v>
      </c>
    </row>
    <row r="2785" spans="1:9" x14ac:dyDescent="0.3">
      <c r="A2785" t="s">
        <v>2274</v>
      </c>
      <c r="C2785" t="s">
        <v>2058</v>
      </c>
      <c r="E2785" t="s">
        <v>1238</v>
      </c>
      <c r="G2785" t="s">
        <v>768</v>
      </c>
      <c r="I2785" t="s">
        <v>2116</v>
      </c>
    </row>
    <row r="2786" spans="1:9" x14ac:dyDescent="0.3">
      <c r="A2786" t="s">
        <v>2275</v>
      </c>
      <c r="C2786" t="s">
        <v>2059</v>
      </c>
      <c r="E2786" t="s">
        <v>1239</v>
      </c>
      <c r="G2786" t="s">
        <v>769</v>
      </c>
      <c r="I2786" t="s">
        <v>2117</v>
      </c>
    </row>
    <row r="2787" spans="1:9" x14ac:dyDescent="0.3">
      <c r="A2787" t="s">
        <v>2276</v>
      </c>
      <c r="C2787" t="s">
        <v>2060</v>
      </c>
      <c r="E2787" t="s">
        <v>1240</v>
      </c>
      <c r="G2787" t="s">
        <v>770</v>
      </c>
      <c r="I2787" t="s">
        <v>2118</v>
      </c>
    </row>
    <row r="2788" spans="1:9" x14ac:dyDescent="0.3">
      <c r="A2788" t="s">
        <v>2277</v>
      </c>
      <c r="C2788" t="s">
        <v>2061</v>
      </c>
      <c r="E2788" t="s">
        <v>1241</v>
      </c>
      <c r="G2788" t="s">
        <v>771</v>
      </c>
      <c r="I2788" t="s">
        <v>2119</v>
      </c>
    </row>
    <row r="2789" spans="1:9" x14ac:dyDescent="0.3">
      <c r="A2789" t="s">
        <v>2278</v>
      </c>
      <c r="C2789">
        <v>3</v>
      </c>
      <c r="E2789" t="s">
        <v>1242</v>
      </c>
      <c r="G2789" t="s">
        <v>772</v>
      </c>
      <c r="I2789" t="s">
        <v>2120</v>
      </c>
    </row>
    <row r="2790" spans="1:9" x14ac:dyDescent="0.3">
      <c r="A2790" t="s">
        <v>2280</v>
      </c>
      <c r="C2790" t="s">
        <v>89</v>
      </c>
      <c r="E2790" t="s">
        <v>1243</v>
      </c>
      <c r="G2790" t="s">
        <v>773</v>
      </c>
      <c r="I2790" t="s">
        <v>2121</v>
      </c>
    </row>
    <row r="2791" spans="1:9" x14ac:dyDescent="0.3">
      <c r="A2791" t="s">
        <v>2281</v>
      </c>
      <c r="C2791" t="s">
        <v>2062</v>
      </c>
      <c r="E2791" t="s">
        <v>1244</v>
      </c>
      <c r="G2791" t="s">
        <v>774</v>
      </c>
      <c r="I2791" t="s">
        <v>2122</v>
      </c>
    </row>
    <row r="2792" spans="1:9" x14ac:dyDescent="0.3">
      <c r="A2792" t="s">
        <v>2282</v>
      </c>
      <c r="C2792" t="s">
        <v>2063</v>
      </c>
      <c r="E2792" t="s">
        <v>1247</v>
      </c>
      <c r="G2792" t="s">
        <v>775</v>
      </c>
      <c r="I2792" t="s">
        <v>2123</v>
      </c>
    </row>
    <row r="2793" spans="1:9" x14ac:dyDescent="0.3">
      <c r="A2793" t="s">
        <v>2283</v>
      </c>
      <c r="C2793" t="s">
        <v>2064</v>
      </c>
      <c r="E2793" t="s">
        <v>1248</v>
      </c>
      <c r="G2793" t="s">
        <v>776</v>
      </c>
      <c r="I2793" t="s">
        <v>2124</v>
      </c>
    </row>
    <row r="2794" spans="1:9" x14ac:dyDescent="0.3">
      <c r="C2794" t="s">
        <v>2065</v>
      </c>
      <c r="E2794" t="s">
        <v>1249</v>
      </c>
      <c r="G2794" t="s">
        <v>777</v>
      </c>
      <c r="I2794" t="s">
        <v>2125</v>
      </c>
    </row>
    <row r="2795" spans="1:9" x14ac:dyDescent="0.3">
      <c r="C2795" t="s">
        <v>2066</v>
      </c>
      <c r="E2795" t="s">
        <v>1250</v>
      </c>
      <c r="G2795" t="s">
        <v>778</v>
      </c>
      <c r="I2795" t="s">
        <v>2126</v>
      </c>
    </row>
    <row r="2796" spans="1:9" x14ac:dyDescent="0.3">
      <c r="A2796" t="s">
        <v>2284</v>
      </c>
      <c r="C2796" t="s">
        <v>2067</v>
      </c>
      <c r="E2796" t="s">
        <v>1251</v>
      </c>
      <c r="G2796" t="s">
        <v>781</v>
      </c>
      <c r="I2796" t="s">
        <v>2127</v>
      </c>
    </row>
    <row r="2797" spans="1:9" x14ac:dyDescent="0.3">
      <c r="A2797" t="s">
        <v>1911</v>
      </c>
      <c r="C2797" t="s">
        <v>2068</v>
      </c>
      <c r="E2797" t="s">
        <v>1252</v>
      </c>
      <c r="G2797" t="s">
        <v>782</v>
      </c>
      <c r="I2797" t="s">
        <v>2128</v>
      </c>
    </row>
    <row r="2798" spans="1:9" x14ac:dyDescent="0.3">
      <c r="C2798" t="s">
        <v>2069</v>
      </c>
      <c r="E2798" t="s">
        <v>1253</v>
      </c>
      <c r="G2798" t="s">
        <v>783</v>
      </c>
      <c r="I2798" t="s">
        <v>2129</v>
      </c>
    </row>
    <row r="2799" spans="1:9" x14ac:dyDescent="0.3">
      <c r="A2799" t="s">
        <v>2285</v>
      </c>
      <c r="C2799" t="s">
        <v>2070</v>
      </c>
      <c r="E2799" t="s">
        <v>1254</v>
      </c>
      <c r="G2799" t="s">
        <v>784</v>
      </c>
      <c r="I2799" t="s">
        <v>2130</v>
      </c>
    </row>
    <row r="2800" spans="1:9" x14ac:dyDescent="0.3">
      <c r="A2800" t="s">
        <v>2286</v>
      </c>
      <c r="C2800" t="s">
        <v>2071</v>
      </c>
      <c r="E2800" t="s">
        <v>1255</v>
      </c>
      <c r="G2800" t="s">
        <v>785</v>
      </c>
      <c r="I2800" t="s">
        <v>2131</v>
      </c>
    </row>
    <row r="2801" spans="1:9" x14ac:dyDescent="0.3">
      <c r="A2801" t="s">
        <v>2287</v>
      </c>
      <c r="C2801" t="s">
        <v>2073</v>
      </c>
      <c r="E2801" t="s">
        <v>1256</v>
      </c>
      <c r="G2801" t="s">
        <v>786</v>
      </c>
      <c r="I2801" t="s">
        <v>2132</v>
      </c>
    </row>
    <row r="2802" spans="1:9" x14ac:dyDescent="0.3">
      <c r="A2802" t="s">
        <v>2288</v>
      </c>
      <c r="E2802" t="s">
        <v>1257</v>
      </c>
      <c r="G2802" t="s">
        <v>787</v>
      </c>
      <c r="I2802" t="s">
        <v>2133</v>
      </c>
    </row>
    <row r="2803" spans="1:9" x14ac:dyDescent="0.3">
      <c r="A2803" t="s">
        <v>2289</v>
      </c>
      <c r="E2803" t="s">
        <v>1258</v>
      </c>
      <c r="G2803" t="s">
        <v>788</v>
      </c>
      <c r="I2803" t="s">
        <v>2134</v>
      </c>
    </row>
    <row r="2804" spans="1:9" x14ac:dyDescent="0.3">
      <c r="A2804" t="s">
        <v>2290</v>
      </c>
      <c r="C2804" t="s">
        <v>1674</v>
      </c>
      <c r="E2804" t="s">
        <v>1259</v>
      </c>
      <c r="G2804" t="s">
        <v>789</v>
      </c>
    </row>
    <row r="2805" spans="1:9" x14ac:dyDescent="0.3">
      <c r="A2805" t="s">
        <v>2291</v>
      </c>
      <c r="C2805" t="s">
        <v>1911</v>
      </c>
      <c r="E2805" t="s">
        <v>3794</v>
      </c>
      <c r="G2805" t="s">
        <v>790</v>
      </c>
    </row>
    <row r="2806" spans="1:9" x14ac:dyDescent="0.3">
      <c r="A2806" t="s">
        <v>2292</v>
      </c>
      <c r="G2806" t="s">
        <v>791</v>
      </c>
      <c r="I2806" t="s">
        <v>2135</v>
      </c>
    </row>
    <row r="2807" spans="1:9" x14ac:dyDescent="0.3">
      <c r="A2807" t="s">
        <v>2293</v>
      </c>
      <c r="C2807" t="s">
        <v>3225</v>
      </c>
      <c r="G2807" t="s">
        <v>792</v>
      </c>
      <c r="I2807" t="s">
        <v>1911</v>
      </c>
    </row>
    <row r="2808" spans="1:9" x14ac:dyDescent="0.3">
      <c r="A2808" t="s">
        <v>2294</v>
      </c>
      <c r="E2808" t="s">
        <v>1916</v>
      </c>
      <c r="G2808" t="s">
        <v>89</v>
      </c>
    </row>
    <row r="2809" spans="1:9" x14ac:dyDescent="0.3">
      <c r="A2809" t="s">
        <v>2295</v>
      </c>
      <c r="C2809" t="s">
        <v>2065</v>
      </c>
      <c r="E2809" t="s">
        <v>1503</v>
      </c>
      <c r="G2809" t="s">
        <v>3970</v>
      </c>
      <c r="I2809" t="s">
        <v>3254</v>
      </c>
    </row>
    <row r="2810" spans="1:9" x14ac:dyDescent="0.3">
      <c r="A2810" t="s">
        <v>2296</v>
      </c>
      <c r="C2810" t="s">
        <v>2066</v>
      </c>
    </row>
    <row r="2811" spans="1:9" x14ac:dyDescent="0.3">
      <c r="A2811" t="s">
        <v>2297</v>
      </c>
      <c r="C2811" t="s">
        <v>2067</v>
      </c>
      <c r="E2811" t="s">
        <v>3244</v>
      </c>
      <c r="I2811" t="s">
        <v>2128</v>
      </c>
    </row>
    <row r="2812" spans="1:9" x14ac:dyDescent="0.3">
      <c r="A2812" t="s">
        <v>2298</v>
      </c>
      <c r="C2812" t="s">
        <v>2068</v>
      </c>
      <c r="G2812" t="s">
        <v>1536</v>
      </c>
      <c r="I2812" t="s">
        <v>2129</v>
      </c>
    </row>
    <row r="2813" spans="1:9" x14ac:dyDescent="0.3">
      <c r="A2813" t="s">
        <v>2299</v>
      </c>
      <c r="C2813" t="s">
        <v>2069</v>
      </c>
      <c r="E2813" t="s">
        <v>1254</v>
      </c>
      <c r="G2813" t="s">
        <v>1503</v>
      </c>
      <c r="I2813" t="s">
        <v>2130</v>
      </c>
    </row>
    <row r="2814" spans="1:9" x14ac:dyDescent="0.3">
      <c r="A2814" t="s">
        <v>2300</v>
      </c>
      <c r="C2814" t="s">
        <v>2070</v>
      </c>
      <c r="E2814" t="s">
        <v>1255</v>
      </c>
      <c r="I2814" t="s">
        <v>2131</v>
      </c>
    </row>
    <row r="2815" spans="1:9" x14ac:dyDescent="0.3">
      <c r="A2815" t="s">
        <v>2301</v>
      </c>
      <c r="C2815" t="s">
        <v>2071</v>
      </c>
      <c r="E2815" t="s">
        <v>1256</v>
      </c>
      <c r="G2815" t="s">
        <v>3207</v>
      </c>
      <c r="I2815" t="s">
        <v>2132</v>
      </c>
    </row>
    <row r="2816" spans="1:9" x14ac:dyDescent="0.3">
      <c r="A2816" t="s">
        <v>2302</v>
      </c>
      <c r="C2816" t="s">
        <v>2073</v>
      </c>
      <c r="E2816" t="s">
        <v>1257</v>
      </c>
      <c r="I2816" t="s">
        <v>2133</v>
      </c>
    </row>
    <row r="2817" spans="1:9" x14ac:dyDescent="0.3">
      <c r="A2817" t="s">
        <v>2303</v>
      </c>
      <c r="C2817" t="s">
        <v>2074</v>
      </c>
      <c r="E2817" t="s">
        <v>1258</v>
      </c>
      <c r="G2817" t="s">
        <v>789</v>
      </c>
      <c r="I2817" t="s">
        <v>2134</v>
      </c>
    </row>
    <row r="2818" spans="1:9" x14ac:dyDescent="0.3">
      <c r="A2818" t="s">
        <v>2304</v>
      </c>
      <c r="C2818" t="s">
        <v>2075</v>
      </c>
      <c r="E2818" t="s">
        <v>1259</v>
      </c>
      <c r="G2818" t="s">
        <v>790</v>
      </c>
      <c r="I2818" t="s">
        <v>2136</v>
      </c>
    </row>
    <row r="2819" spans="1:9" x14ac:dyDescent="0.3">
      <c r="A2819" t="s">
        <v>2305</v>
      </c>
      <c r="C2819" t="e">
        <f>- la società si propone di realizzare il fine sociale anche</f>
        <v>#NAME?</v>
      </c>
      <c r="E2819" t="s">
        <v>1260</v>
      </c>
      <c r="G2819" t="s">
        <v>791</v>
      </c>
      <c r="I2819" t="s">
        <v>2137</v>
      </c>
    </row>
    <row r="2820" spans="1:9" x14ac:dyDescent="0.3">
      <c r="A2820" t="s">
        <v>2306</v>
      </c>
      <c r="C2820" t="s">
        <v>2076</v>
      </c>
      <c r="E2820" t="s">
        <v>1261</v>
      </c>
      <c r="G2820" t="s">
        <v>792</v>
      </c>
      <c r="I2820" t="s">
        <v>2138</v>
      </c>
    </row>
    <row r="2821" spans="1:9" x14ac:dyDescent="0.3">
      <c r="A2821" t="s">
        <v>2307</v>
      </c>
      <c r="C2821" t="s">
        <v>2077</v>
      </c>
      <c r="E2821" t="s">
        <v>1262</v>
      </c>
      <c r="G2821" t="s">
        <v>89</v>
      </c>
      <c r="I2821" t="s">
        <v>2139</v>
      </c>
    </row>
    <row r="2822" spans="1:9" x14ac:dyDescent="0.3">
      <c r="A2822" t="s">
        <v>2308</v>
      </c>
      <c r="C2822" t="s">
        <v>2078</v>
      </c>
      <c r="E2822" t="s">
        <v>1263</v>
      </c>
      <c r="G2822" t="s">
        <v>793</v>
      </c>
      <c r="I2822" t="s">
        <v>2140</v>
      </c>
    </row>
    <row r="2823" spans="1:9" x14ac:dyDescent="0.3">
      <c r="A2823" t="s">
        <v>2309</v>
      </c>
      <c r="C2823" t="s">
        <v>2079</v>
      </c>
      <c r="E2823" t="s">
        <v>1264</v>
      </c>
      <c r="G2823" t="s">
        <v>794</v>
      </c>
      <c r="I2823" t="s">
        <v>2141</v>
      </c>
    </row>
    <row r="2824" spans="1:9" x14ac:dyDescent="0.3">
      <c r="A2824" t="s">
        <v>2310</v>
      </c>
      <c r="C2824" t="s">
        <v>2080</v>
      </c>
      <c r="E2824" t="s">
        <v>1265</v>
      </c>
      <c r="G2824" t="s">
        <v>795</v>
      </c>
      <c r="I2824" t="s">
        <v>2142</v>
      </c>
    </row>
    <row r="2825" spans="1:9" x14ac:dyDescent="0.3">
      <c r="A2825" t="s">
        <v>2311</v>
      </c>
      <c r="C2825" t="s">
        <v>2081</v>
      </c>
      <c r="E2825" t="s">
        <v>3795</v>
      </c>
      <c r="G2825" t="s">
        <v>796</v>
      </c>
      <c r="I2825" t="s">
        <v>2143</v>
      </c>
    </row>
    <row r="2826" spans="1:9" x14ac:dyDescent="0.3">
      <c r="A2826" t="s">
        <v>2312</v>
      </c>
      <c r="C2826" t="s">
        <v>2082</v>
      </c>
      <c r="G2826" t="s">
        <v>797</v>
      </c>
      <c r="I2826" t="s">
        <v>2144</v>
      </c>
    </row>
    <row r="2827" spans="1:9" x14ac:dyDescent="0.3">
      <c r="A2827" t="s">
        <v>2313</v>
      </c>
      <c r="C2827" t="s">
        <v>2083</v>
      </c>
      <c r="G2827" t="s">
        <v>798</v>
      </c>
      <c r="I2827" t="s">
        <v>2145</v>
      </c>
    </row>
    <row r="2828" spans="1:9" x14ac:dyDescent="0.3">
      <c r="A2828" t="s">
        <v>2314</v>
      </c>
      <c r="C2828" t="s">
        <v>2084</v>
      </c>
      <c r="E2828" t="s">
        <v>1922</v>
      </c>
      <c r="G2828" t="s">
        <v>799</v>
      </c>
      <c r="I2828" t="s">
        <v>2146</v>
      </c>
    </row>
    <row r="2829" spans="1:9" x14ac:dyDescent="0.3">
      <c r="A2829" t="s">
        <v>2315</v>
      </c>
      <c r="C2829" t="s">
        <v>2085</v>
      </c>
      <c r="E2829" t="s">
        <v>1503</v>
      </c>
      <c r="G2829" t="s">
        <v>800</v>
      </c>
      <c r="I2829" t="s">
        <v>2147</v>
      </c>
    </row>
    <row r="2830" spans="1:9" x14ac:dyDescent="0.3">
      <c r="C2830" t="s">
        <v>2086</v>
      </c>
      <c r="G2830" t="s">
        <v>801</v>
      </c>
      <c r="I2830" t="s">
        <v>2136</v>
      </c>
    </row>
    <row r="2831" spans="1:9" x14ac:dyDescent="0.3">
      <c r="C2831" t="s">
        <v>2087</v>
      </c>
      <c r="E2831" t="s">
        <v>3245</v>
      </c>
      <c r="G2831" t="s">
        <v>804</v>
      </c>
      <c r="I2831" t="s">
        <v>2148</v>
      </c>
    </row>
    <row r="2832" spans="1:9" x14ac:dyDescent="0.3">
      <c r="A2832" t="s">
        <v>2316</v>
      </c>
      <c r="C2832" t="s">
        <v>2088</v>
      </c>
      <c r="G2832" t="s">
        <v>805</v>
      </c>
      <c r="I2832" t="s">
        <v>2149</v>
      </c>
    </row>
    <row r="2833" spans="1:9" x14ac:dyDescent="0.3">
      <c r="A2833" t="s">
        <v>1911</v>
      </c>
      <c r="C2833" t="s">
        <v>2089</v>
      </c>
      <c r="E2833" t="s">
        <v>1269</v>
      </c>
      <c r="G2833" t="s">
        <v>806</v>
      </c>
    </row>
    <row r="2834" spans="1:9" x14ac:dyDescent="0.3">
      <c r="C2834" t="s">
        <v>2090</v>
      </c>
      <c r="E2834" t="s">
        <v>1270</v>
      </c>
      <c r="G2834" t="s">
        <v>807</v>
      </c>
    </row>
    <row r="2835" spans="1:9" x14ac:dyDescent="0.3">
      <c r="A2835" t="s">
        <v>2317</v>
      </c>
      <c r="C2835" t="s">
        <v>2091</v>
      </c>
      <c r="E2835" t="s">
        <v>1271</v>
      </c>
      <c r="G2835" t="s">
        <v>808</v>
      </c>
      <c r="I2835" t="s">
        <v>2150</v>
      </c>
    </row>
    <row r="2836" spans="1:9" x14ac:dyDescent="0.3">
      <c r="A2836" t="s">
        <v>2318</v>
      </c>
      <c r="C2836" t="s">
        <v>2092</v>
      </c>
      <c r="E2836" t="s">
        <v>1272</v>
      </c>
      <c r="G2836" t="s">
        <v>809</v>
      </c>
      <c r="I2836" t="s">
        <v>1911</v>
      </c>
    </row>
    <row r="2837" spans="1:9" x14ac:dyDescent="0.3">
      <c r="A2837" t="s">
        <v>2319</v>
      </c>
      <c r="C2837" t="s">
        <v>2093</v>
      </c>
      <c r="E2837" t="s">
        <v>3796</v>
      </c>
      <c r="G2837" t="s">
        <v>810</v>
      </c>
    </row>
    <row r="2838" spans="1:9" x14ac:dyDescent="0.3">
      <c r="A2838" t="s">
        <v>2320</v>
      </c>
      <c r="C2838" t="s">
        <v>2094</v>
      </c>
      <c r="E2838" t="s">
        <v>1275</v>
      </c>
      <c r="G2838" t="s">
        <v>811</v>
      </c>
      <c r="I2838" t="s">
        <v>3255</v>
      </c>
    </row>
    <row r="2839" spans="1:9" x14ac:dyDescent="0.3">
      <c r="A2839" t="s">
        <v>2321</v>
      </c>
      <c r="C2839" t="s">
        <v>3436</v>
      </c>
      <c r="E2839" t="s">
        <v>89</v>
      </c>
      <c r="G2839" t="s">
        <v>812</v>
      </c>
    </row>
    <row r="2840" spans="1:9" x14ac:dyDescent="0.3">
      <c r="A2840" t="s">
        <v>467</v>
      </c>
      <c r="C2840" t="s">
        <v>2097</v>
      </c>
      <c r="E2840" t="s">
        <v>1276</v>
      </c>
      <c r="G2840" t="s">
        <v>813</v>
      </c>
      <c r="I2840" t="s">
        <v>2151</v>
      </c>
    </row>
    <row r="2841" spans="1:9" x14ac:dyDescent="0.3">
      <c r="A2841">
        <v>8</v>
      </c>
      <c r="C2841" t="s">
        <v>2098</v>
      </c>
      <c r="E2841" t="s">
        <v>3797</v>
      </c>
      <c r="G2841" t="s">
        <v>814</v>
      </c>
      <c r="I2841" t="s">
        <v>2152</v>
      </c>
    </row>
    <row r="2842" spans="1:9" x14ac:dyDescent="0.3">
      <c r="A2842" t="s">
        <v>89</v>
      </c>
      <c r="C2842" t="s">
        <v>2099</v>
      </c>
      <c r="E2842" t="s">
        <v>1279</v>
      </c>
      <c r="G2842" t="s">
        <v>815</v>
      </c>
      <c r="I2842" t="s">
        <v>2153</v>
      </c>
    </row>
    <row r="2843" spans="1:9" x14ac:dyDescent="0.3">
      <c r="A2843" t="s">
        <v>2322</v>
      </c>
      <c r="C2843" t="s">
        <v>3437</v>
      </c>
      <c r="E2843" t="s">
        <v>1280</v>
      </c>
      <c r="G2843" t="s">
        <v>816</v>
      </c>
      <c r="I2843" t="s">
        <v>2154</v>
      </c>
    </row>
    <row r="2844" spans="1:9" x14ac:dyDescent="0.3">
      <c r="A2844" t="s">
        <v>2323</v>
      </c>
      <c r="C2844" t="s">
        <v>2102</v>
      </c>
      <c r="E2844" t="s">
        <v>3798</v>
      </c>
      <c r="G2844" t="s">
        <v>3971</v>
      </c>
      <c r="I2844" t="s">
        <v>2155</v>
      </c>
    </row>
    <row r="2845" spans="1:9" x14ac:dyDescent="0.3">
      <c r="A2845" t="s">
        <v>2324</v>
      </c>
      <c r="E2845" t="s">
        <v>1283</v>
      </c>
      <c r="I2845" t="s">
        <v>2156</v>
      </c>
    </row>
    <row r="2846" spans="1:9" x14ac:dyDescent="0.3">
      <c r="A2846" t="s">
        <v>2325</v>
      </c>
      <c r="E2846" t="s">
        <v>1284</v>
      </c>
      <c r="I2846" t="s">
        <v>2157</v>
      </c>
    </row>
    <row r="2847" spans="1:9" x14ac:dyDescent="0.3">
      <c r="A2847" t="s">
        <v>2326</v>
      </c>
      <c r="C2847" t="s">
        <v>1691</v>
      </c>
      <c r="E2847" t="s">
        <v>1285</v>
      </c>
      <c r="G2847" t="s">
        <v>1538</v>
      </c>
      <c r="I2847" t="s">
        <v>2158</v>
      </c>
    </row>
    <row r="2848" spans="1:9" x14ac:dyDescent="0.3">
      <c r="A2848" t="s">
        <v>2327</v>
      </c>
      <c r="C2848" t="s">
        <v>1911</v>
      </c>
      <c r="E2848" t="s">
        <v>3799</v>
      </c>
      <c r="G2848" t="s">
        <v>1503</v>
      </c>
      <c r="I2848" t="s">
        <v>2159</v>
      </c>
    </row>
    <row r="2849" spans="1:9" x14ac:dyDescent="0.3">
      <c r="A2849" t="s">
        <v>2328</v>
      </c>
      <c r="E2849" t="s">
        <v>1288</v>
      </c>
      <c r="I2849" t="s">
        <v>2160</v>
      </c>
    </row>
    <row r="2850" spans="1:9" x14ac:dyDescent="0.3">
      <c r="A2850" t="s">
        <v>2329</v>
      </c>
      <c r="C2850" t="s">
        <v>3226</v>
      </c>
      <c r="E2850" t="s">
        <v>1289</v>
      </c>
      <c r="G2850" t="s">
        <v>3208</v>
      </c>
      <c r="I2850" t="s">
        <v>2161</v>
      </c>
    </row>
    <row r="2851" spans="1:9" x14ac:dyDescent="0.3">
      <c r="A2851" t="s">
        <v>2330</v>
      </c>
      <c r="E2851" t="s">
        <v>1292</v>
      </c>
      <c r="I2851" t="s">
        <v>2162</v>
      </c>
    </row>
    <row r="2852" spans="1:9" x14ac:dyDescent="0.3">
      <c r="A2852" t="s">
        <v>2331</v>
      </c>
      <c r="C2852" t="s">
        <v>2092</v>
      </c>
      <c r="E2852" t="s">
        <v>3800</v>
      </c>
      <c r="G2852" t="s">
        <v>813</v>
      </c>
      <c r="I2852" t="s">
        <v>2163</v>
      </c>
    </row>
    <row r="2853" spans="1:9" x14ac:dyDescent="0.3">
      <c r="A2853" t="s">
        <v>2332</v>
      </c>
      <c r="C2853" t="s">
        <v>2093</v>
      </c>
      <c r="G2853" t="s">
        <v>814</v>
      </c>
      <c r="I2853" t="s">
        <v>2164</v>
      </c>
    </row>
    <row r="2854" spans="1:9" x14ac:dyDescent="0.3">
      <c r="C2854" t="s">
        <v>2094</v>
      </c>
      <c r="G2854" t="s">
        <v>815</v>
      </c>
      <c r="I2854">
        <v>5</v>
      </c>
    </row>
    <row r="2855" spans="1:9" x14ac:dyDescent="0.3">
      <c r="C2855" t="s">
        <v>3436</v>
      </c>
      <c r="E2855" t="s">
        <v>1939</v>
      </c>
      <c r="G2855" t="s">
        <v>816</v>
      </c>
      <c r="I2855" t="s">
        <v>89</v>
      </c>
    </row>
    <row r="2856" spans="1:9" x14ac:dyDescent="0.3">
      <c r="A2856" t="s">
        <v>2333</v>
      </c>
      <c r="C2856" t="s">
        <v>2097</v>
      </c>
      <c r="E2856" t="s">
        <v>1503</v>
      </c>
      <c r="G2856" t="s">
        <v>817</v>
      </c>
      <c r="I2856" t="s">
        <v>2165</v>
      </c>
    </row>
    <row r="2857" spans="1:9" x14ac:dyDescent="0.3">
      <c r="A2857" t="s">
        <v>1911</v>
      </c>
      <c r="C2857" t="s">
        <v>2098</v>
      </c>
      <c r="G2857" t="s">
        <v>818</v>
      </c>
      <c r="I2857" t="s">
        <v>2166</v>
      </c>
    </row>
    <row r="2858" spans="1:9" x14ac:dyDescent="0.3">
      <c r="C2858" t="s">
        <v>2099</v>
      </c>
      <c r="E2858" t="s">
        <v>3246</v>
      </c>
      <c r="G2858" t="s">
        <v>819</v>
      </c>
      <c r="I2858" t="s">
        <v>2167</v>
      </c>
    </row>
    <row r="2859" spans="1:9" x14ac:dyDescent="0.3">
      <c r="A2859" t="s">
        <v>2334</v>
      </c>
      <c r="C2859" t="s">
        <v>3437</v>
      </c>
      <c r="G2859" t="s">
        <v>820</v>
      </c>
      <c r="I2859" t="s">
        <v>2168</v>
      </c>
    </row>
    <row r="2860" spans="1:9" x14ac:dyDescent="0.3">
      <c r="A2860" t="s">
        <v>2335</v>
      </c>
      <c r="C2860" t="s">
        <v>2102</v>
      </c>
      <c r="E2860" t="s">
        <v>1294</v>
      </c>
      <c r="G2860" t="s">
        <v>821</v>
      </c>
      <c r="I2860" t="s">
        <v>2169</v>
      </c>
    </row>
    <row r="2861" spans="1:9" x14ac:dyDescent="0.3">
      <c r="A2861" t="s">
        <v>2336</v>
      </c>
      <c r="C2861" t="s">
        <v>2103</v>
      </c>
      <c r="E2861" t="s">
        <v>1295</v>
      </c>
      <c r="G2861" t="s">
        <v>824</v>
      </c>
      <c r="I2861" t="s">
        <v>2170</v>
      </c>
    </row>
    <row r="2862" spans="1:9" x14ac:dyDescent="0.3">
      <c r="A2862" t="s">
        <v>2337</v>
      </c>
      <c r="C2862" t="s">
        <v>2104</v>
      </c>
      <c r="E2862" t="s">
        <v>1296</v>
      </c>
      <c r="G2862" t="s">
        <v>825</v>
      </c>
      <c r="I2862" t="s">
        <v>2171</v>
      </c>
    </row>
    <row r="2863" spans="1:9" x14ac:dyDescent="0.3">
      <c r="A2863" t="s">
        <v>2338</v>
      </c>
      <c r="C2863" t="s">
        <v>2105</v>
      </c>
      <c r="E2863" t="s">
        <v>1287</v>
      </c>
      <c r="G2863" t="s">
        <v>826</v>
      </c>
      <c r="I2863" t="s">
        <v>2172</v>
      </c>
    </row>
    <row r="2864" spans="1:9" x14ac:dyDescent="0.3">
      <c r="C2864" t="s">
        <v>2106</v>
      </c>
      <c r="E2864" t="s">
        <v>1297</v>
      </c>
      <c r="G2864" t="s">
        <v>827</v>
      </c>
      <c r="I2864" t="s">
        <v>2173</v>
      </c>
    </row>
    <row r="2865" spans="1:9" x14ac:dyDescent="0.3">
      <c r="C2865" t="s">
        <v>2107</v>
      </c>
      <c r="E2865" t="s">
        <v>1289</v>
      </c>
      <c r="G2865" t="s">
        <v>828</v>
      </c>
      <c r="I2865" t="s">
        <v>2174</v>
      </c>
    </row>
    <row r="2866" spans="1:9" x14ac:dyDescent="0.3">
      <c r="A2866" t="s">
        <v>2339</v>
      </c>
      <c r="C2866" t="s">
        <v>2108</v>
      </c>
      <c r="E2866" t="s">
        <v>1298</v>
      </c>
      <c r="G2866" t="s">
        <v>829</v>
      </c>
      <c r="I2866" t="s">
        <v>2175</v>
      </c>
    </row>
    <row r="2867" spans="1:9" x14ac:dyDescent="0.3">
      <c r="A2867" t="s">
        <v>1911</v>
      </c>
      <c r="C2867" t="s">
        <v>2109</v>
      </c>
      <c r="E2867" t="s">
        <v>1299</v>
      </c>
      <c r="G2867" t="s">
        <v>830</v>
      </c>
      <c r="I2867" t="s">
        <v>2176</v>
      </c>
    </row>
    <row r="2868" spans="1:9" x14ac:dyDescent="0.3">
      <c r="C2868" t="s">
        <v>2110</v>
      </c>
      <c r="E2868" t="s">
        <v>1287</v>
      </c>
      <c r="G2868" t="s">
        <v>831</v>
      </c>
      <c r="I2868" t="s">
        <v>2177</v>
      </c>
    </row>
    <row r="2869" spans="1:9" x14ac:dyDescent="0.3">
      <c r="A2869" t="s">
        <v>2340</v>
      </c>
      <c r="C2869" t="s">
        <v>2111</v>
      </c>
      <c r="E2869" t="s">
        <v>1297</v>
      </c>
      <c r="G2869" t="s">
        <v>832</v>
      </c>
      <c r="I2869" t="s">
        <v>2178</v>
      </c>
    </row>
    <row r="2870" spans="1:9" x14ac:dyDescent="0.3">
      <c r="A2870" t="s">
        <v>2341</v>
      </c>
      <c r="C2870" t="s">
        <v>2112</v>
      </c>
      <c r="E2870" t="s">
        <v>1289</v>
      </c>
      <c r="G2870" t="s">
        <v>833</v>
      </c>
      <c r="I2870" t="s">
        <v>2179</v>
      </c>
    </row>
    <row r="2871" spans="1:9" x14ac:dyDescent="0.3">
      <c r="A2871" t="s">
        <v>2342</v>
      </c>
      <c r="C2871" t="s">
        <v>2113</v>
      </c>
      <c r="E2871" t="s">
        <v>1298</v>
      </c>
      <c r="G2871" t="s">
        <v>834</v>
      </c>
      <c r="I2871" t="s">
        <v>2180</v>
      </c>
    </row>
    <row r="2872" spans="1:9" x14ac:dyDescent="0.3">
      <c r="A2872" t="s">
        <v>2343</v>
      </c>
      <c r="C2872">
        <v>4</v>
      </c>
      <c r="E2872" t="s">
        <v>1294</v>
      </c>
      <c r="G2872" t="s">
        <v>835</v>
      </c>
    </row>
    <row r="2873" spans="1:9" x14ac:dyDescent="0.3">
      <c r="A2873" t="s">
        <v>2344</v>
      </c>
      <c r="C2873" t="s">
        <v>89</v>
      </c>
      <c r="E2873" t="s">
        <v>1295</v>
      </c>
      <c r="G2873" t="s">
        <v>836</v>
      </c>
    </row>
    <row r="2874" spans="1:9" x14ac:dyDescent="0.3">
      <c r="A2874" t="s">
        <v>2345</v>
      </c>
      <c r="C2874" t="s">
        <v>2114</v>
      </c>
      <c r="E2874" t="s">
        <v>3801</v>
      </c>
      <c r="G2874" t="s">
        <v>837</v>
      </c>
      <c r="I2874" t="s">
        <v>2181</v>
      </c>
    </row>
    <row r="2875" spans="1:9" x14ac:dyDescent="0.3">
      <c r="A2875" t="s">
        <v>2346</v>
      </c>
      <c r="C2875" t="s">
        <v>2115</v>
      </c>
      <c r="E2875" t="s">
        <v>1297</v>
      </c>
      <c r="G2875" t="s">
        <v>838</v>
      </c>
      <c r="I2875" t="s">
        <v>1911</v>
      </c>
    </row>
    <row r="2876" spans="1:9" x14ac:dyDescent="0.3">
      <c r="A2876" t="s">
        <v>2347</v>
      </c>
      <c r="C2876" t="s">
        <v>2116</v>
      </c>
      <c r="E2876" t="s">
        <v>1289</v>
      </c>
      <c r="G2876" t="s">
        <v>839</v>
      </c>
    </row>
    <row r="2877" spans="1:9" x14ac:dyDescent="0.3">
      <c r="A2877" t="s">
        <v>2348</v>
      </c>
      <c r="C2877" t="s">
        <v>2117</v>
      </c>
      <c r="E2877" t="s">
        <v>1298</v>
      </c>
      <c r="G2877" t="s">
        <v>840</v>
      </c>
      <c r="I2877" t="s">
        <v>3256</v>
      </c>
    </row>
    <row r="2878" spans="1:9" x14ac:dyDescent="0.3">
      <c r="A2878" t="s">
        <v>2349</v>
      </c>
      <c r="C2878" t="s">
        <v>2118</v>
      </c>
      <c r="E2878" t="s">
        <v>1294</v>
      </c>
      <c r="G2878" t="s">
        <v>3972</v>
      </c>
    </row>
    <row r="2879" spans="1:9" x14ac:dyDescent="0.3">
      <c r="A2879" t="s">
        <v>2350</v>
      </c>
      <c r="C2879" t="s">
        <v>2119</v>
      </c>
      <c r="E2879" t="s">
        <v>1295</v>
      </c>
      <c r="I2879" t="s">
        <v>2182</v>
      </c>
    </row>
    <row r="2880" spans="1:9" x14ac:dyDescent="0.3">
      <c r="A2880" t="s">
        <v>2351</v>
      </c>
      <c r="C2880" t="s">
        <v>2120</v>
      </c>
      <c r="E2880" t="s">
        <v>1303</v>
      </c>
      <c r="I2880" t="s">
        <v>2183</v>
      </c>
    </row>
    <row r="2881" spans="1:9" x14ac:dyDescent="0.3">
      <c r="A2881" t="s">
        <v>2352</v>
      </c>
      <c r="C2881" t="s">
        <v>2121</v>
      </c>
      <c r="E2881" t="s">
        <v>1304</v>
      </c>
      <c r="G2881" t="s">
        <v>1540</v>
      </c>
      <c r="I2881" t="s">
        <v>2184</v>
      </c>
    </row>
    <row r="2882" spans="1:9" x14ac:dyDescent="0.3">
      <c r="A2882" t="s">
        <v>2353</v>
      </c>
      <c r="C2882" t="s">
        <v>2122</v>
      </c>
      <c r="E2882" t="s">
        <v>1305</v>
      </c>
      <c r="G2882" t="s">
        <v>1503</v>
      </c>
      <c r="I2882" t="s">
        <v>2185</v>
      </c>
    </row>
    <row r="2883" spans="1:9" x14ac:dyDescent="0.3">
      <c r="A2883" t="s">
        <v>2354</v>
      </c>
      <c r="C2883" t="s">
        <v>2123</v>
      </c>
      <c r="E2883" t="s">
        <v>3802</v>
      </c>
      <c r="I2883" t="s">
        <v>2186</v>
      </c>
    </row>
    <row r="2884" spans="1:9" x14ac:dyDescent="0.3">
      <c r="A2884" t="s">
        <v>2355</v>
      </c>
      <c r="C2884" t="s">
        <v>2124</v>
      </c>
      <c r="G2884" t="s">
        <v>3209</v>
      </c>
      <c r="I2884" t="s">
        <v>2187</v>
      </c>
    </row>
    <row r="2885" spans="1:9" x14ac:dyDescent="0.3">
      <c r="A2885" t="s">
        <v>2356</v>
      </c>
      <c r="C2885" t="s">
        <v>2125</v>
      </c>
    </row>
    <row r="2886" spans="1:9" x14ac:dyDescent="0.3">
      <c r="A2886" t="s">
        <v>2357</v>
      </c>
      <c r="C2886" t="s">
        <v>2126</v>
      </c>
      <c r="E2886" t="s">
        <v>1968</v>
      </c>
      <c r="G2886" t="s">
        <v>836</v>
      </c>
    </row>
    <row r="2887" spans="1:9" x14ac:dyDescent="0.3">
      <c r="A2887" t="s">
        <v>2358</v>
      </c>
      <c r="E2887" t="s">
        <v>1503</v>
      </c>
      <c r="G2887" t="s">
        <v>837</v>
      </c>
      <c r="I2887" t="s">
        <v>2188</v>
      </c>
    </row>
    <row r="2888" spans="1:9" x14ac:dyDescent="0.3">
      <c r="A2888" t="s">
        <v>2359</v>
      </c>
      <c r="G2888" t="s">
        <v>838</v>
      </c>
      <c r="I2888" t="s">
        <v>1911</v>
      </c>
    </row>
    <row r="2889" spans="1:9" x14ac:dyDescent="0.3">
      <c r="A2889" t="s">
        <v>2360</v>
      </c>
      <c r="C2889" t="s">
        <v>1708</v>
      </c>
      <c r="E2889" t="s">
        <v>3247</v>
      </c>
      <c r="G2889" t="s">
        <v>839</v>
      </c>
    </row>
    <row r="2890" spans="1:9" x14ac:dyDescent="0.3">
      <c r="A2890" t="s">
        <v>2361</v>
      </c>
      <c r="C2890" t="s">
        <v>1911</v>
      </c>
      <c r="G2890" t="s">
        <v>840</v>
      </c>
      <c r="I2890" t="s">
        <v>3257</v>
      </c>
    </row>
    <row r="2891" spans="1:9" x14ac:dyDescent="0.3">
      <c r="A2891" t="s">
        <v>2362</v>
      </c>
      <c r="E2891" t="s">
        <v>1307</v>
      </c>
      <c r="G2891" t="s">
        <v>841</v>
      </c>
    </row>
    <row r="2892" spans="1:9" x14ac:dyDescent="0.3">
      <c r="A2892" t="s">
        <v>657</v>
      </c>
      <c r="C2892" t="s">
        <v>3227</v>
      </c>
      <c r="E2892" t="s">
        <v>3803</v>
      </c>
      <c r="G2892" t="s">
        <v>842</v>
      </c>
      <c r="I2892" t="s">
        <v>2189</v>
      </c>
    </row>
    <row r="2893" spans="1:9" x14ac:dyDescent="0.3">
      <c r="A2893" t="s">
        <v>2363</v>
      </c>
      <c r="E2893" t="s">
        <v>1310</v>
      </c>
      <c r="G2893" t="s">
        <v>843</v>
      </c>
      <c r="I2893" t="s">
        <v>2190</v>
      </c>
    </row>
    <row r="2894" spans="1:9" x14ac:dyDescent="0.3">
      <c r="A2894" t="s">
        <v>2364</v>
      </c>
      <c r="C2894" t="s">
        <v>2119</v>
      </c>
      <c r="E2894" t="s">
        <v>3804</v>
      </c>
      <c r="G2894" t="s">
        <v>846</v>
      </c>
      <c r="I2894" t="s">
        <v>2191</v>
      </c>
    </row>
    <row r="2895" spans="1:9" x14ac:dyDescent="0.3">
      <c r="A2895" t="s">
        <v>2365</v>
      </c>
      <c r="C2895" t="s">
        <v>2120</v>
      </c>
      <c r="E2895" t="s">
        <v>1314</v>
      </c>
      <c r="G2895" t="s">
        <v>847</v>
      </c>
      <c r="I2895" t="s">
        <v>2192</v>
      </c>
    </row>
    <row r="2896" spans="1:9" x14ac:dyDescent="0.3">
      <c r="A2896" t="s">
        <v>2366</v>
      </c>
      <c r="C2896" t="s">
        <v>2121</v>
      </c>
      <c r="E2896" t="s">
        <v>1315</v>
      </c>
      <c r="G2896" t="s">
        <v>848</v>
      </c>
      <c r="I2896" t="s">
        <v>2193</v>
      </c>
    </row>
    <row r="2897" spans="1:9" x14ac:dyDescent="0.3">
      <c r="A2897" t="s">
        <v>2367</v>
      </c>
      <c r="C2897" t="s">
        <v>2122</v>
      </c>
      <c r="E2897" t="s">
        <v>1316</v>
      </c>
      <c r="G2897" t="s">
        <v>849</v>
      </c>
    </row>
    <row r="2898" spans="1:9" x14ac:dyDescent="0.3">
      <c r="A2898" t="s">
        <v>2368</v>
      </c>
      <c r="C2898" t="s">
        <v>2123</v>
      </c>
      <c r="E2898" t="s">
        <v>1317</v>
      </c>
      <c r="G2898" t="s">
        <v>850</v>
      </c>
    </row>
    <row r="2899" spans="1:9" x14ac:dyDescent="0.3">
      <c r="A2899" t="s">
        <v>2369</v>
      </c>
      <c r="C2899" t="s">
        <v>2124</v>
      </c>
      <c r="E2899" t="s">
        <v>1318</v>
      </c>
      <c r="G2899" t="s">
        <v>851</v>
      </c>
      <c r="I2899" t="s">
        <v>2194</v>
      </c>
    </row>
    <row r="2900" spans="1:9" x14ac:dyDescent="0.3">
      <c r="A2900" t="s">
        <v>2360</v>
      </c>
      <c r="C2900" t="s">
        <v>2125</v>
      </c>
      <c r="E2900" t="s">
        <v>1319</v>
      </c>
      <c r="G2900" t="s">
        <v>852</v>
      </c>
      <c r="I2900" t="s">
        <v>1911</v>
      </c>
    </row>
    <row r="2901" spans="1:9" x14ac:dyDescent="0.3">
      <c r="A2901" t="s">
        <v>2370</v>
      </c>
      <c r="C2901" t="s">
        <v>2126</v>
      </c>
      <c r="E2901" t="s">
        <v>1320</v>
      </c>
      <c r="G2901" t="s">
        <v>853</v>
      </c>
    </row>
    <row r="2902" spans="1:9" x14ac:dyDescent="0.3">
      <c r="A2902" t="s">
        <v>2371</v>
      </c>
      <c r="C2902" t="s">
        <v>2127</v>
      </c>
      <c r="E2902" t="s">
        <v>89</v>
      </c>
      <c r="G2902" t="s">
        <v>89</v>
      </c>
      <c r="I2902" t="s">
        <v>3258</v>
      </c>
    </row>
    <row r="2903" spans="1:9" x14ac:dyDescent="0.3">
      <c r="A2903">
        <v>9</v>
      </c>
      <c r="C2903" t="s">
        <v>2128</v>
      </c>
      <c r="E2903" t="s">
        <v>3805</v>
      </c>
      <c r="G2903" t="s">
        <v>854</v>
      </c>
    </row>
    <row r="2904" spans="1:9" x14ac:dyDescent="0.3">
      <c r="A2904" t="s">
        <v>89</v>
      </c>
      <c r="C2904" t="s">
        <v>2129</v>
      </c>
      <c r="E2904" t="s">
        <v>1325</v>
      </c>
      <c r="G2904" t="s">
        <v>855</v>
      </c>
      <c r="I2904" t="s">
        <v>2195</v>
      </c>
    </row>
    <row r="2905" spans="1:9" x14ac:dyDescent="0.3">
      <c r="A2905" t="s">
        <v>2372</v>
      </c>
      <c r="C2905" t="s">
        <v>2130</v>
      </c>
      <c r="E2905" t="s">
        <v>3806</v>
      </c>
      <c r="G2905" t="s">
        <v>856</v>
      </c>
      <c r="I2905" t="s">
        <v>2196</v>
      </c>
    </row>
    <row r="2906" spans="1:9" x14ac:dyDescent="0.3">
      <c r="C2906" t="s">
        <v>2131</v>
      </c>
      <c r="E2906" t="s">
        <v>1328</v>
      </c>
      <c r="G2906" t="s">
        <v>857</v>
      </c>
      <c r="I2906" t="s">
        <v>2197</v>
      </c>
    </row>
    <row r="2907" spans="1:9" x14ac:dyDescent="0.3">
      <c r="C2907" t="s">
        <v>2132</v>
      </c>
      <c r="E2907" t="s">
        <v>89</v>
      </c>
      <c r="G2907" t="s">
        <v>858</v>
      </c>
      <c r="I2907" t="s">
        <v>2198</v>
      </c>
    </row>
    <row r="2908" spans="1:9" x14ac:dyDescent="0.3">
      <c r="A2908" t="s">
        <v>2373</v>
      </c>
      <c r="C2908" t="s">
        <v>2133</v>
      </c>
      <c r="E2908" t="s">
        <v>1329</v>
      </c>
      <c r="G2908" t="s">
        <v>859</v>
      </c>
      <c r="I2908" t="s">
        <v>2199</v>
      </c>
    </row>
    <row r="2909" spans="1:9" x14ac:dyDescent="0.3">
      <c r="A2909" t="s">
        <v>1911</v>
      </c>
      <c r="C2909" t="s">
        <v>2134</v>
      </c>
      <c r="E2909" t="s">
        <v>1330</v>
      </c>
      <c r="G2909" t="s">
        <v>860</v>
      </c>
      <c r="I2909" t="s">
        <v>2200</v>
      </c>
    </row>
    <row r="2910" spans="1:9" x14ac:dyDescent="0.3">
      <c r="C2910" t="s">
        <v>2136</v>
      </c>
      <c r="E2910" t="s">
        <v>3807</v>
      </c>
      <c r="G2910" t="s">
        <v>861</v>
      </c>
      <c r="I2910" t="s">
        <v>2201</v>
      </c>
    </row>
    <row r="2911" spans="1:9" x14ac:dyDescent="0.3">
      <c r="A2911" t="s">
        <v>2367</v>
      </c>
      <c r="C2911" t="s">
        <v>2137</v>
      </c>
      <c r="E2911" t="s">
        <v>2784</v>
      </c>
      <c r="G2911" t="s">
        <v>862</v>
      </c>
      <c r="I2911" t="s">
        <v>2202</v>
      </c>
    </row>
    <row r="2912" spans="1:9" x14ac:dyDescent="0.3">
      <c r="A2912" t="s">
        <v>2368</v>
      </c>
      <c r="C2912" t="s">
        <v>2138</v>
      </c>
      <c r="G2912" t="s">
        <v>863</v>
      </c>
      <c r="I2912" t="s">
        <v>2203</v>
      </c>
    </row>
    <row r="2913" spans="1:9" x14ac:dyDescent="0.3">
      <c r="A2913" t="s">
        <v>2369</v>
      </c>
      <c r="C2913" t="s">
        <v>2139</v>
      </c>
      <c r="G2913" t="s">
        <v>864</v>
      </c>
      <c r="I2913" t="s">
        <v>2204</v>
      </c>
    </row>
    <row r="2914" spans="1:9" x14ac:dyDescent="0.3">
      <c r="A2914" t="s">
        <v>2360</v>
      </c>
      <c r="C2914" t="s">
        <v>2140</v>
      </c>
      <c r="G2914" t="s">
        <v>865</v>
      </c>
      <c r="I2914" t="s">
        <v>2205</v>
      </c>
    </row>
    <row r="2915" spans="1:9" x14ac:dyDescent="0.3">
      <c r="A2915" t="s">
        <v>2370</v>
      </c>
      <c r="C2915" t="s">
        <v>2141</v>
      </c>
      <c r="I2915" t="s">
        <v>2206</v>
      </c>
    </row>
    <row r="2916" spans="1:9" x14ac:dyDescent="0.3">
      <c r="A2916" t="s">
        <v>2371</v>
      </c>
      <c r="C2916" t="s">
        <v>2142</v>
      </c>
      <c r="I2916" t="s">
        <v>2207</v>
      </c>
    </row>
    <row r="2917" spans="1:9" x14ac:dyDescent="0.3">
      <c r="A2917">
        <v>9</v>
      </c>
      <c r="C2917" t="s">
        <v>2143</v>
      </c>
      <c r="G2917" t="s">
        <v>1542</v>
      </c>
      <c r="I2917" t="s">
        <v>2208</v>
      </c>
    </row>
    <row r="2918" spans="1:9" x14ac:dyDescent="0.3">
      <c r="A2918" t="s">
        <v>89</v>
      </c>
      <c r="C2918" t="s">
        <v>2144</v>
      </c>
      <c r="G2918" t="s">
        <v>1503</v>
      </c>
      <c r="I2918" t="s">
        <v>2209</v>
      </c>
    </row>
    <row r="2919" spans="1:9" x14ac:dyDescent="0.3">
      <c r="A2919" t="s">
        <v>2372</v>
      </c>
      <c r="C2919" t="s">
        <v>2145</v>
      </c>
      <c r="I2919" t="s">
        <v>2210</v>
      </c>
    </row>
    <row r="2920" spans="1:9" x14ac:dyDescent="0.3">
      <c r="A2920" t="s">
        <v>2374</v>
      </c>
      <c r="C2920" t="s">
        <v>2146</v>
      </c>
      <c r="G2920" t="s">
        <v>3210</v>
      </c>
      <c r="I2920" t="s">
        <v>2211</v>
      </c>
    </row>
    <row r="2921" spans="1:9" x14ac:dyDescent="0.3">
      <c r="A2921" t="s">
        <v>2375</v>
      </c>
      <c r="C2921" t="s">
        <v>2147</v>
      </c>
      <c r="I2921" t="s">
        <v>2212</v>
      </c>
    </row>
    <row r="2922" spans="1:9" x14ac:dyDescent="0.3">
      <c r="A2922" t="s">
        <v>2376</v>
      </c>
      <c r="C2922" t="s">
        <v>2136</v>
      </c>
      <c r="G2922" t="s">
        <v>861</v>
      </c>
      <c r="I2922" t="s">
        <v>2213</v>
      </c>
    </row>
    <row r="2923" spans="1:9" x14ac:dyDescent="0.3">
      <c r="A2923" t="s">
        <v>2377</v>
      </c>
      <c r="C2923" t="s">
        <v>2148</v>
      </c>
      <c r="G2923" t="s">
        <v>862</v>
      </c>
      <c r="I2923" t="s">
        <v>2214</v>
      </c>
    </row>
    <row r="2924" spans="1:9" x14ac:dyDescent="0.3">
      <c r="A2924" t="s">
        <v>2378</v>
      </c>
      <c r="C2924" t="s">
        <v>3438</v>
      </c>
      <c r="G2924" t="s">
        <v>863</v>
      </c>
      <c r="I2924" t="s">
        <v>2215</v>
      </c>
    </row>
    <row r="2925" spans="1:9" x14ac:dyDescent="0.3">
      <c r="A2925" t="s">
        <v>2379</v>
      </c>
      <c r="C2925" t="s">
        <v>2151</v>
      </c>
      <c r="G2925" t="s">
        <v>864</v>
      </c>
      <c r="I2925" t="s">
        <v>2216</v>
      </c>
    </row>
    <row r="2926" spans="1:9" x14ac:dyDescent="0.3">
      <c r="A2926" t="s">
        <v>2380</v>
      </c>
      <c r="C2926" t="s">
        <v>2152</v>
      </c>
      <c r="G2926" t="s">
        <v>867</v>
      </c>
      <c r="I2926" t="s">
        <v>2217</v>
      </c>
    </row>
    <row r="2927" spans="1:9" x14ac:dyDescent="0.3">
      <c r="A2927" t="s">
        <v>2381</v>
      </c>
      <c r="C2927" t="s">
        <v>2153</v>
      </c>
      <c r="G2927" t="s">
        <v>868</v>
      </c>
      <c r="I2927">
        <v>6</v>
      </c>
    </row>
    <row r="2928" spans="1:9" x14ac:dyDescent="0.3">
      <c r="A2928" t="s">
        <v>2382</v>
      </c>
      <c r="C2928" t="s">
        <v>2154</v>
      </c>
      <c r="G2928" t="s">
        <v>869</v>
      </c>
      <c r="I2928" t="s">
        <v>89</v>
      </c>
    </row>
    <row r="2929" spans="1:9" x14ac:dyDescent="0.3">
      <c r="A2929" t="s">
        <v>2383</v>
      </c>
      <c r="G2929" t="s">
        <v>870</v>
      </c>
      <c r="I2929" t="s">
        <v>2218</v>
      </c>
    </row>
    <row r="2930" spans="1:9" x14ac:dyDescent="0.3">
      <c r="A2930" t="s">
        <v>2384</v>
      </c>
      <c r="G2930" t="s">
        <v>871</v>
      </c>
      <c r="I2930" t="s">
        <v>2219</v>
      </c>
    </row>
    <row r="2931" spans="1:9" x14ac:dyDescent="0.3">
      <c r="A2931" t="s">
        <v>2385</v>
      </c>
      <c r="C2931" t="s">
        <v>1711</v>
      </c>
      <c r="G2931" t="s">
        <v>872</v>
      </c>
      <c r="I2931" t="s">
        <v>2220</v>
      </c>
    </row>
    <row r="2932" spans="1:9" x14ac:dyDescent="0.3">
      <c r="A2932" t="s">
        <v>2386</v>
      </c>
      <c r="C2932" t="s">
        <v>1911</v>
      </c>
      <c r="G2932" t="s">
        <v>873</v>
      </c>
      <c r="I2932" t="s">
        <v>2221</v>
      </c>
    </row>
    <row r="2933" spans="1:9" x14ac:dyDescent="0.3">
      <c r="A2933" t="s">
        <v>2387</v>
      </c>
      <c r="G2933" t="s">
        <v>874</v>
      </c>
      <c r="I2933" t="s">
        <v>2222</v>
      </c>
    </row>
    <row r="2934" spans="1:9" x14ac:dyDescent="0.3">
      <c r="A2934" t="s">
        <v>2388</v>
      </c>
      <c r="C2934" t="s">
        <v>3228</v>
      </c>
      <c r="G2934" t="s">
        <v>875</v>
      </c>
      <c r="I2934" t="s">
        <v>2223</v>
      </c>
    </row>
    <row r="2935" spans="1:9" x14ac:dyDescent="0.3">
      <c r="A2935" t="s">
        <v>2389</v>
      </c>
      <c r="G2935" t="s">
        <v>876</v>
      </c>
      <c r="I2935" t="s">
        <v>2224</v>
      </c>
    </row>
    <row r="2936" spans="1:9" x14ac:dyDescent="0.3">
      <c r="A2936" t="s">
        <v>2390</v>
      </c>
      <c r="C2936" t="s">
        <v>2146</v>
      </c>
      <c r="G2936" t="s">
        <v>877</v>
      </c>
      <c r="I2936" t="s">
        <v>2225</v>
      </c>
    </row>
    <row r="2937" spans="1:9" x14ac:dyDescent="0.3">
      <c r="C2937" t="s">
        <v>2147</v>
      </c>
      <c r="G2937" t="s">
        <v>878</v>
      </c>
      <c r="I2937" t="s">
        <v>2226</v>
      </c>
    </row>
    <row r="2938" spans="1:9" x14ac:dyDescent="0.3">
      <c r="C2938" t="s">
        <v>2136</v>
      </c>
      <c r="G2938" t="s">
        <v>879</v>
      </c>
      <c r="I2938" t="s">
        <v>2227</v>
      </c>
    </row>
    <row r="2939" spans="1:9" x14ac:dyDescent="0.3">
      <c r="A2939" t="s">
        <v>2391</v>
      </c>
      <c r="C2939" t="s">
        <v>2148</v>
      </c>
      <c r="G2939" t="s">
        <v>880</v>
      </c>
    </row>
    <row r="2940" spans="1:9" x14ac:dyDescent="0.3">
      <c r="A2940" t="s">
        <v>1911</v>
      </c>
      <c r="C2940" t="s">
        <v>3438</v>
      </c>
      <c r="G2940" t="s">
        <v>881</v>
      </c>
    </row>
    <row r="2941" spans="1:9" x14ac:dyDescent="0.3">
      <c r="C2941" t="s">
        <v>2151</v>
      </c>
      <c r="G2941" t="s">
        <v>882</v>
      </c>
      <c r="I2941" t="s">
        <v>2228</v>
      </c>
    </row>
    <row r="2942" spans="1:9" x14ac:dyDescent="0.3">
      <c r="A2942" t="s">
        <v>2392</v>
      </c>
      <c r="C2942" t="s">
        <v>2152</v>
      </c>
      <c r="G2942" t="s">
        <v>883</v>
      </c>
      <c r="I2942" t="s">
        <v>1911</v>
      </c>
    </row>
    <row r="2943" spans="1:9" x14ac:dyDescent="0.3">
      <c r="A2943" t="s">
        <v>2393</v>
      </c>
      <c r="C2943" t="s">
        <v>2153</v>
      </c>
      <c r="G2943" t="s">
        <v>884</v>
      </c>
    </row>
    <row r="2944" spans="1:9" x14ac:dyDescent="0.3">
      <c r="A2944" t="s">
        <v>2394</v>
      </c>
      <c r="C2944" t="s">
        <v>2154</v>
      </c>
      <c r="G2944" t="s">
        <v>885</v>
      </c>
      <c r="I2944" t="s">
        <v>3259</v>
      </c>
    </row>
    <row r="2945" spans="1:9" x14ac:dyDescent="0.3">
      <c r="A2945" t="s">
        <v>2395</v>
      </c>
      <c r="C2945" t="s">
        <v>2155</v>
      </c>
      <c r="G2945" t="s">
        <v>886</v>
      </c>
    </row>
    <row r="2946" spans="1:9" x14ac:dyDescent="0.3">
      <c r="A2946" t="s">
        <v>2396</v>
      </c>
      <c r="C2946" t="s">
        <v>2156</v>
      </c>
      <c r="G2946" t="s">
        <v>889</v>
      </c>
      <c r="I2946" t="s">
        <v>2220</v>
      </c>
    </row>
    <row r="2947" spans="1:9" x14ac:dyDescent="0.3">
      <c r="A2947" t="s">
        <v>2397</v>
      </c>
      <c r="C2947" t="s">
        <v>2157</v>
      </c>
      <c r="G2947" t="s">
        <v>890</v>
      </c>
      <c r="I2947" t="s">
        <v>2221</v>
      </c>
    </row>
    <row r="2948" spans="1:9" x14ac:dyDescent="0.3">
      <c r="A2948" t="s">
        <v>2398</v>
      </c>
      <c r="C2948" t="s">
        <v>2158</v>
      </c>
      <c r="G2948" t="s">
        <v>891</v>
      </c>
      <c r="I2948" t="s">
        <v>2222</v>
      </c>
    </row>
    <row r="2949" spans="1:9" x14ac:dyDescent="0.3">
      <c r="A2949" t="s">
        <v>2399</v>
      </c>
      <c r="C2949" t="s">
        <v>2159</v>
      </c>
      <c r="G2949" t="s">
        <v>1511</v>
      </c>
      <c r="I2949" t="s">
        <v>2223</v>
      </c>
    </row>
    <row r="2950" spans="1:9" x14ac:dyDescent="0.3">
      <c r="A2950" t="s">
        <v>2400</v>
      </c>
      <c r="C2950" t="s">
        <v>2160</v>
      </c>
      <c r="I2950" t="s">
        <v>2224</v>
      </c>
    </row>
    <row r="2951" spans="1:9" x14ac:dyDescent="0.3">
      <c r="A2951" t="s">
        <v>2401</v>
      </c>
      <c r="C2951" t="s">
        <v>2161</v>
      </c>
      <c r="I2951" t="s">
        <v>2225</v>
      </c>
    </row>
    <row r="2952" spans="1:9" x14ac:dyDescent="0.3">
      <c r="A2952" t="s">
        <v>2402</v>
      </c>
      <c r="C2952" t="s">
        <v>2162</v>
      </c>
      <c r="G2952" t="s">
        <v>1544</v>
      </c>
      <c r="I2952" t="s">
        <v>2226</v>
      </c>
    </row>
    <row r="2953" spans="1:9" x14ac:dyDescent="0.3">
      <c r="A2953" t="s">
        <v>2403</v>
      </c>
      <c r="C2953" t="s">
        <v>2163</v>
      </c>
      <c r="G2953" t="s">
        <v>1503</v>
      </c>
      <c r="I2953" t="s">
        <v>2227</v>
      </c>
    </row>
    <row r="2954" spans="1:9" x14ac:dyDescent="0.3">
      <c r="A2954" t="s">
        <v>2404</v>
      </c>
      <c r="C2954" t="s">
        <v>2164</v>
      </c>
      <c r="I2954" t="s">
        <v>2229</v>
      </c>
    </row>
    <row r="2955" spans="1:9" x14ac:dyDescent="0.3">
      <c r="A2955" t="s">
        <v>2405</v>
      </c>
      <c r="C2955">
        <v>5</v>
      </c>
      <c r="G2955" t="s">
        <v>3211</v>
      </c>
      <c r="I2955" t="s">
        <v>2230</v>
      </c>
    </row>
    <row r="2956" spans="1:9" x14ac:dyDescent="0.3">
      <c r="A2956" t="s">
        <v>2406</v>
      </c>
      <c r="C2956" t="s">
        <v>89</v>
      </c>
      <c r="I2956" t="s">
        <v>2231</v>
      </c>
    </row>
    <row r="2957" spans="1:9" x14ac:dyDescent="0.3">
      <c r="A2957" t="s">
        <v>2407</v>
      </c>
      <c r="C2957" t="s">
        <v>2165</v>
      </c>
      <c r="G2957" t="s">
        <v>886</v>
      </c>
      <c r="I2957" t="s">
        <v>2232</v>
      </c>
    </row>
    <row r="2958" spans="1:9" x14ac:dyDescent="0.3">
      <c r="A2958" t="s">
        <v>2408</v>
      </c>
      <c r="C2958" t="s">
        <v>2166</v>
      </c>
      <c r="G2958" t="s">
        <v>889</v>
      </c>
      <c r="I2958" t="s">
        <v>2233</v>
      </c>
    </row>
    <row r="2959" spans="1:9" x14ac:dyDescent="0.3">
      <c r="A2959" t="s">
        <v>2409</v>
      </c>
      <c r="C2959" t="s">
        <v>2167</v>
      </c>
      <c r="G2959" t="s">
        <v>890</v>
      </c>
      <c r="I2959" t="s">
        <v>2234</v>
      </c>
    </row>
    <row r="2960" spans="1:9" x14ac:dyDescent="0.3">
      <c r="A2960" t="s">
        <v>2410</v>
      </c>
      <c r="C2960" t="s">
        <v>2168</v>
      </c>
      <c r="G2960" t="s">
        <v>891</v>
      </c>
      <c r="I2960" t="s">
        <v>2235</v>
      </c>
    </row>
    <row r="2961" spans="1:9" x14ac:dyDescent="0.3">
      <c r="A2961" t="s">
        <v>2411</v>
      </c>
      <c r="C2961" t="s">
        <v>2169</v>
      </c>
      <c r="G2961" t="s">
        <v>892</v>
      </c>
      <c r="I2961" t="s">
        <v>2236</v>
      </c>
    </row>
    <row r="2962" spans="1:9" x14ac:dyDescent="0.3">
      <c r="A2962" t="s">
        <v>2412</v>
      </c>
      <c r="C2962" t="s">
        <v>2170</v>
      </c>
      <c r="G2962" t="s">
        <v>893</v>
      </c>
      <c r="I2962" t="s">
        <v>2237</v>
      </c>
    </row>
    <row r="2963" spans="1:9" x14ac:dyDescent="0.3">
      <c r="A2963" t="s">
        <v>2413</v>
      </c>
      <c r="C2963" t="s">
        <v>2171</v>
      </c>
      <c r="G2963" t="s">
        <v>894</v>
      </c>
      <c r="I2963" t="s">
        <v>2238</v>
      </c>
    </row>
    <row r="2964" spans="1:9" x14ac:dyDescent="0.3">
      <c r="A2964" t="s">
        <v>2414</v>
      </c>
      <c r="C2964" t="s">
        <v>2172</v>
      </c>
      <c r="G2964" t="s">
        <v>895</v>
      </c>
      <c r="I2964" t="s">
        <v>2239</v>
      </c>
    </row>
    <row r="2965" spans="1:9" x14ac:dyDescent="0.3">
      <c r="A2965" t="s">
        <v>2415</v>
      </c>
      <c r="C2965" t="s">
        <v>2173</v>
      </c>
      <c r="G2965" t="s">
        <v>896</v>
      </c>
      <c r="I2965" t="s">
        <v>2240</v>
      </c>
    </row>
    <row r="2966" spans="1:9" x14ac:dyDescent="0.3">
      <c r="A2966" t="s">
        <v>2416</v>
      </c>
      <c r="C2966" t="s">
        <v>2174</v>
      </c>
      <c r="G2966" t="s">
        <v>897</v>
      </c>
      <c r="I2966" t="s">
        <v>2241</v>
      </c>
    </row>
    <row r="2967" spans="1:9" x14ac:dyDescent="0.3">
      <c r="A2967" t="s">
        <v>2417</v>
      </c>
      <c r="C2967" t="s">
        <v>2175</v>
      </c>
      <c r="G2967" t="s">
        <v>898</v>
      </c>
      <c r="I2967" t="s">
        <v>2242</v>
      </c>
    </row>
    <row r="2968" spans="1:9" x14ac:dyDescent="0.3">
      <c r="A2968" t="s">
        <v>2418</v>
      </c>
      <c r="C2968" t="s">
        <v>2176</v>
      </c>
      <c r="G2968" t="s">
        <v>899</v>
      </c>
      <c r="I2968" t="s">
        <v>2243</v>
      </c>
    </row>
    <row r="2969" spans="1:9" x14ac:dyDescent="0.3">
      <c r="A2969" t="s">
        <v>2419</v>
      </c>
      <c r="C2969" t="s">
        <v>2177</v>
      </c>
      <c r="G2969" t="s">
        <v>900</v>
      </c>
      <c r="I2969" t="s">
        <v>2244</v>
      </c>
    </row>
    <row r="2970" spans="1:9" x14ac:dyDescent="0.3">
      <c r="A2970" t="s">
        <v>2420</v>
      </c>
      <c r="G2970" t="s">
        <v>901</v>
      </c>
      <c r="I2970" t="s">
        <v>2245</v>
      </c>
    </row>
    <row r="2971" spans="1:9" x14ac:dyDescent="0.3">
      <c r="G2971" t="s">
        <v>902</v>
      </c>
      <c r="I2971" t="s">
        <v>2246</v>
      </c>
    </row>
    <row r="2972" spans="1:9" x14ac:dyDescent="0.3">
      <c r="C2972" t="s">
        <v>1733</v>
      </c>
      <c r="G2972" t="s">
        <v>903</v>
      </c>
      <c r="I2972" t="s">
        <v>2247</v>
      </c>
    </row>
    <row r="2973" spans="1:9" x14ac:dyDescent="0.3">
      <c r="A2973" t="s">
        <v>2421</v>
      </c>
      <c r="C2973" t="s">
        <v>1911</v>
      </c>
      <c r="G2973" t="s">
        <v>904</v>
      </c>
      <c r="I2973" t="s">
        <v>2248</v>
      </c>
    </row>
    <row r="2974" spans="1:9" x14ac:dyDescent="0.3">
      <c r="A2974" t="s">
        <v>1911</v>
      </c>
      <c r="G2974" t="s">
        <v>905</v>
      </c>
      <c r="I2974" t="s">
        <v>2249</v>
      </c>
    </row>
    <row r="2975" spans="1:9" x14ac:dyDescent="0.3">
      <c r="C2975" t="s">
        <v>3229</v>
      </c>
      <c r="G2975" t="s">
        <v>906</v>
      </c>
      <c r="I2975" t="s">
        <v>2250</v>
      </c>
    </row>
    <row r="2976" spans="1:9" x14ac:dyDescent="0.3">
      <c r="A2976" t="s">
        <v>2422</v>
      </c>
      <c r="G2976" t="s">
        <v>907</v>
      </c>
      <c r="I2976" t="s">
        <v>2251</v>
      </c>
    </row>
    <row r="2977" spans="1:9" x14ac:dyDescent="0.3">
      <c r="A2977" t="s">
        <v>2423</v>
      </c>
      <c r="C2977" t="s">
        <v>2170</v>
      </c>
      <c r="G2977" t="s">
        <v>910</v>
      </c>
      <c r="I2977" t="s">
        <v>2252</v>
      </c>
    </row>
    <row r="2978" spans="1:9" x14ac:dyDescent="0.3">
      <c r="A2978" t="s">
        <v>2424</v>
      </c>
      <c r="C2978" t="s">
        <v>2171</v>
      </c>
      <c r="G2978" t="s">
        <v>911</v>
      </c>
    </row>
    <row r="2979" spans="1:9" x14ac:dyDescent="0.3">
      <c r="A2979">
        <v>10</v>
      </c>
      <c r="C2979" t="s">
        <v>2172</v>
      </c>
      <c r="G2979" t="s">
        <v>912</v>
      </c>
    </row>
    <row r="2980" spans="1:9" x14ac:dyDescent="0.3">
      <c r="A2980" t="s">
        <v>89</v>
      </c>
      <c r="C2980" t="s">
        <v>2173</v>
      </c>
      <c r="G2980" t="s">
        <v>913</v>
      </c>
      <c r="I2980" t="s">
        <v>2253</v>
      </c>
    </row>
    <row r="2981" spans="1:9" x14ac:dyDescent="0.3">
      <c r="A2981" t="s">
        <v>2425</v>
      </c>
      <c r="C2981" t="s">
        <v>2174</v>
      </c>
      <c r="G2981" t="s">
        <v>914</v>
      </c>
      <c r="I2981" t="s">
        <v>1911</v>
      </c>
    </row>
    <row r="2982" spans="1:9" x14ac:dyDescent="0.3">
      <c r="A2982" t="s">
        <v>2426</v>
      </c>
      <c r="C2982" t="s">
        <v>2175</v>
      </c>
      <c r="G2982" t="s">
        <v>89</v>
      </c>
    </row>
    <row r="2983" spans="1:9" x14ac:dyDescent="0.3">
      <c r="A2983" t="s">
        <v>2427</v>
      </c>
      <c r="C2983" t="s">
        <v>2176</v>
      </c>
      <c r="G2983" t="s">
        <v>915</v>
      </c>
      <c r="I2983" t="s">
        <v>3260</v>
      </c>
    </row>
    <row r="2984" spans="1:9" x14ac:dyDescent="0.3">
      <c r="A2984" t="s">
        <v>2428</v>
      </c>
      <c r="C2984" t="s">
        <v>2177</v>
      </c>
      <c r="G2984" t="s">
        <v>3973</v>
      </c>
    </row>
    <row r="2985" spans="1:9" x14ac:dyDescent="0.3">
      <c r="A2985" t="s">
        <v>2429</v>
      </c>
      <c r="C2985" t="s">
        <v>2178</v>
      </c>
      <c r="I2985" t="s">
        <v>2246</v>
      </c>
    </row>
    <row r="2986" spans="1:9" x14ac:dyDescent="0.3">
      <c r="A2986" t="s">
        <v>2430</v>
      </c>
      <c r="C2986" t="s">
        <v>2179</v>
      </c>
      <c r="I2986" t="s">
        <v>2247</v>
      </c>
    </row>
    <row r="2987" spans="1:9" x14ac:dyDescent="0.3">
      <c r="A2987" t="s">
        <v>2431</v>
      </c>
      <c r="C2987" t="s">
        <v>2180</v>
      </c>
      <c r="G2987" t="s">
        <v>1546</v>
      </c>
      <c r="I2987" t="s">
        <v>2248</v>
      </c>
    </row>
    <row r="2988" spans="1:9" x14ac:dyDescent="0.3">
      <c r="A2988" t="s">
        <v>2432</v>
      </c>
      <c r="C2988" t="s">
        <v>2182</v>
      </c>
      <c r="G2988" t="s">
        <v>1503</v>
      </c>
      <c r="I2988" t="s">
        <v>2249</v>
      </c>
    </row>
    <row r="2989" spans="1:9" x14ac:dyDescent="0.3">
      <c r="A2989" t="s">
        <v>2433</v>
      </c>
      <c r="C2989" t="s">
        <v>2183</v>
      </c>
      <c r="I2989" t="s">
        <v>2250</v>
      </c>
    </row>
    <row r="2990" spans="1:9" x14ac:dyDescent="0.3">
      <c r="A2990" t="s">
        <v>2434</v>
      </c>
      <c r="C2990" t="s">
        <v>2184</v>
      </c>
      <c r="G2990" t="s">
        <v>3212</v>
      </c>
      <c r="I2990" t="s">
        <v>2251</v>
      </c>
    </row>
    <row r="2991" spans="1:9" x14ac:dyDescent="0.3">
      <c r="A2991" t="s">
        <v>2435</v>
      </c>
      <c r="C2991" t="s">
        <v>2185</v>
      </c>
      <c r="I2991" t="s">
        <v>2252</v>
      </c>
    </row>
    <row r="2992" spans="1:9" x14ac:dyDescent="0.3">
      <c r="A2992" t="s">
        <v>2436</v>
      </c>
      <c r="C2992" t="s">
        <v>2186</v>
      </c>
      <c r="G2992" t="s">
        <v>913</v>
      </c>
      <c r="I2992" t="s">
        <v>2254</v>
      </c>
    </row>
    <row r="2993" spans="1:9" x14ac:dyDescent="0.3">
      <c r="A2993" t="s">
        <v>2437</v>
      </c>
      <c r="C2993" t="s">
        <v>3439</v>
      </c>
      <c r="G2993" t="s">
        <v>914</v>
      </c>
      <c r="I2993" t="s">
        <v>2255</v>
      </c>
    </row>
    <row r="2994" spans="1:9" x14ac:dyDescent="0.3">
      <c r="C2994" t="s">
        <v>2189</v>
      </c>
      <c r="G2994" t="s">
        <v>89</v>
      </c>
      <c r="I2994" t="s">
        <v>2256</v>
      </c>
    </row>
    <row r="2995" spans="1:9" x14ac:dyDescent="0.3">
      <c r="C2995" t="s">
        <v>2190</v>
      </c>
      <c r="G2995" t="s">
        <v>915</v>
      </c>
      <c r="I2995" t="s">
        <v>2257</v>
      </c>
    </row>
    <row r="2996" spans="1:9" x14ac:dyDescent="0.3">
      <c r="A2996" t="s">
        <v>2438</v>
      </c>
      <c r="C2996" t="s">
        <v>2191</v>
      </c>
      <c r="G2996" t="s">
        <v>916</v>
      </c>
      <c r="I2996" t="s">
        <v>2258</v>
      </c>
    </row>
    <row r="2997" spans="1:9" x14ac:dyDescent="0.3">
      <c r="A2997" t="s">
        <v>1911</v>
      </c>
      <c r="C2997" t="s">
        <v>2192</v>
      </c>
      <c r="G2997" t="s">
        <v>917</v>
      </c>
      <c r="I2997" t="s">
        <v>2259</v>
      </c>
    </row>
    <row r="2998" spans="1:9" x14ac:dyDescent="0.3">
      <c r="C2998" t="s">
        <v>3440</v>
      </c>
      <c r="G2998" t="s">
        <v>918</v>
      </c>
      <c r="I2998" t="s">
        <v>2260</v>
      </c>
    </row>
    <row r="2999" spans="1:9" x14ac:dyDescent="0.3">
      <c r="A2999" t="s">
        <v>2439</v>
      </c>
      <c r="C2999" t="s">
        <v>2195</v>
      </c>
      <c r="G2999" t="s">
        <v>919</v>
      </c>
      <c r="I2999" t="s">
        <v>2261</v>
      </c>
    </row>
    <row r="3000" spans="1:9" x14ac:dyDescent="0.3">
      <c r="A3000" t="s">
        <v>2440</v>
      </c>
      <c r="C3000" t="s">
        <v>2196</v>
      </c>
      <c r="G3000" t="s">
        <v>920</v>
      </c>
      <c r="I3000" t="s">
        <v>2262</v>
      </c>
    </row>
    <row r="3001" spans="1:9" x14ac:dyDescent="0.3">
      <c r="A3001" t="s">
        <v>2441</v>
      </c>
      <c r="C3001" t="s">
        <v>2197</v>
      </c>
      <c r="G3001" t="s">
        <v>921</v>
      </c>
      <c r="I3001" t="s">
        <v>2263</v>
      </c>
    </row>
    <row r="3002" spans="1:9" x14ac:dyDescent="0.3">
      <c r="A3002" t="s">
        <v>2442</v>
      </c>
      <c r="C3002" t="s">
        <v>2198</v>
      </c>
      <c r="G3002" t="s">
        <v>922</v>
      </c>
      <c r="I3002" t="s">
        <v>2264</v>
      </c>
    </row>
    <row r="3003" spans="1:9" x14ac:dyDescent="0.3">
      <c r="A3003" t="s">
        <v>2443</v>
      </c>
      <c r="C3003" t="s">
        <v>2199</v>
      </c>
      <c r="G3003" t="s">
        <v>923</v>
      </c>
      <c r="I3003" t="s">
        <v>2265</v>
      </c>
    </row>
    <row r="3004" spans="1:9" x14ac:dyDescent="0.3">
      <c r="A3004" t="s">
        <v>2444</v>
      </c>
      <c r="C3004" t="s">
        <v>2200</v>
      </c>
      <c r="G3004" t="s">
        <v>924</v>
      </c>
      <c r="I3004" t="s">
        <v>2266</v>
      </c>
    </row>
    <row r="3005" spans="1:9" x14ac:dyDescent="0.3">
      <c r="A3005" t="s">
        <v>2445</v>
      </c>
      <c r="C3005" t="s">
        <v>2201</v>
      </c>
      <c r="G3005" t="s">
        <v>925</v>
      </c>
      <c r="I3005" t="s">
        <v>2267</v>
      </c>
    </row>
    <row r="3006" spans="1:9" x14ac:dyDescent="0.3">
      <c r="A3006" t="s">
        <v>2446</v>
      </c>
      <c r="C3006" t="s">
        <v>2202</v>
      </c>
      <c r="G3006" t="s">
        <v>926</v>
      </c>
      <c r="I3006" t="s">
        <v>2268</v>
      </c>
    </row>
    <row r="3007" spans="1:9" x14ac:dyDescent="0.3">
      <c r="A3007" t="s">
        <v>2447</v>
      </c>
      <c r="C3007" t="s">
        <v>2203</v>
      </c>
      <c r="G3007" t="s">
        <v>927</v>
      </c>
      <c r="I3007" t="s">
        <v>2269</v>
      </c>
    </row>
    <row r="3008" spans="1:9" x14ac:dyDescent="0.3">
      <c r="A3008" t="s">
        <v>647</v>
      </c>
      <c r="C3008" t="s">
        <v>2204</v>
      </c>
      <c r="G3008" t="s">
        <v>928</v>
      </c>
      <c r="I3008">
        <v>7</v>
      </c>
    </row>
    <row r="3009" spans="1:9" x14ac:dyDescent="0.3">
      <c r="A3009" t="s">
        <v>2448</v>
      </c>
      <c r="C3009" t="s">
        <v>2205</v>
      </c>
      <c r="G3009" t="s">
        <v>929</v>
      </c>
      <c r="I3009" t="s">
        <v>89</v>
      </c>
    </row>
    <row r="3010" spans="1:9" x14ac:dyDescent="0.3">
      <c r="A3010" t="s">
        <v>2449</v>
      </c>
      <c r="C3010" t="s">
        <v>2206</v>
      </c>
      <c r="G3010" t="s">
        <v>930</v>
      </c>
      <c r="I3010" t="s">
        <v>2270</v>
      </c>
    </row>
    <row r="3011" spans="1:9" x14ac:dyDescent="0.3">
      <c r="C3011" t="s">
        <v>2207</v>
      </c>
      <c r="G3011" t="s">
        <v>931</v>
      </c>
      <c r="I3011" t="s">
        <v>2271</v>
      </c>
    </row>
    <row r="3012" spans="1:9" x14ac:dyDescent="0.3">
      <c r="C3012" t="s">
        <v>2208</v>
      </c>
      <c r="G3012" t="s">
        <v>934</v>
      </c>
      <c r="I3012" t="s">
        <v>2272</v>
      </c>
    </row>
    <row r="3013" spans="1:9" x14ac:dyDescent="0.3">
      <c r="A3013" t="s">
        <v>2450</v>
      </c>
      <c r="C3013" t="s">
        <v>2209</v>
      </c>
      <c r="G3013" t="s">
        <v>935</v>
      </c>
      <c r="I3013" t="s">
        <v>2273</v>
      </c>
    </row>
    <row r="3014" spans="1:9" x14ac:dyDescent="0.3">
      <c r="A3014" t="s">
        <v>1911</v>
      </c>
      <c r="G3014" t="s">
        <v>936</v>
      </c>
      <c r="I3014" t="s">
        <v>2274</v>
      </c>
    </row>
    <row r="3015" spans="1:9" x14ac:dyDescent="0.3">
      <c r="G3015" t="s">
        <v>937</v>
      </c>
      <c r="I3015" t="s">
        <v>2275</v>
      </c>
    </row>
    <row r="3016" spans="1:9" x14ac:dyDescent="0.3">
      <c r="A3016" t="s">
        <v>2451</v>
      </c>
      <c r="C3016" t="s">
        <v>1751</v>
      </c>
      <c r="G3016" t="s">
        <v>938</v>
      </c>
      <c r="I3016" t="s">
        <v>2276</v>
      </c>
    </row>
    <row r="3017" spans="1:9" x14ac:dyDescent="0.3">
      <c r="A3017" t="s">
        <v>2452</v>
      </c>
      <c r="C3017" t="s">
        <v>1911</v>
      </c>
      <c r="G3017" t="s">
        <v>939</v>
      </c>
      <c r="I3017" t="s">
        <v>2277</v>
      </c>
    </row>
    <row r="3018" spans="1:9" x14ac:dyDescent="0.3">
      <c r="A3018" t="s">
        <v>2453</v>
      </c>
      <c r="G3018" t="s">
        <v>940</v>
      </c>
      <c r="I3018" t="s">
        <v>2278</v>
      </c>
    </row>
    <row r="3019" spans="1:9" x14ac:dyDescent="0.3">
      <c r="A3019" t="s">
        <v>2454</v>
      </c>
      <c r="C3019" t="s">
        <v>3230</v>
      </c>
      <c r="G3019" t="s">
        <v>941</v>
      </c>
    </row>
    <row r="3020" spans="1:9" x14ac:dyDescent="0.3">
      <c r="A3020" t="s">
        <v>2455</v>
      </c>
      <c r="G3020" t="s">
        <v>942</v>
      </c>
    </row>
    <row r="3021" spans="1:9" x14ac:dyDescent="0.3">
      <c r="A3021" t="s">
        <v>2456</v>
      </c>
      <c r="C3021" t="s">
        <v>2203</v>
      </c>
      <c r="G3021" t="s">
        <v>943</v>
      </c>
      <c r="I3021" t="s">
        <v>2279</v>
      </c>
    </row>
    <row r="3022" spans="1:9" x14ac:dyDescent="0.3">
      <c r="A3022" t="s">
        <v>2457</v>
      </c>
      <c r="C3022" t="s">
        <v>2204</v>
      </c>
      <c r="G3022" t="s">
        <v>944</v>
      </c>
      <c r="I3022" t="s">
        <v>1911</v>
      </c>
    </row>
    <row r="3023" spans="1:9" x14ac:dyDescent="0.3">
      <c r="A3023" t="s">
        <v>2458</v>
      </c>
      <c r="C3023" t="s">
        <v>2205</v>
      </c>
      <c r="G3023" t="s">
        <v>945</v>
      </c>
    </row>
    <row r="3024" spans="1:9" x14ac:dyDescent="0.3">
      <c r="A3024" t="s">
        <v>2459</v>
      </c>
      <c r="C3024" t="s">
        <v>2206</v>
      </c>
      <c r="G3024" t="s">
        <v>3974</v>
      </c>
      <c r="I3024" t="s">
        <v>3261</v>
      </c>
    </row>
    <row r="3025" spans="1:9" x14ac:dyDescent="0.3">
      <c r="A3025" t="s">
        <v>2460</v>
      </c>
      <c r="C3025" t="s">
        <v>2207</v>
      </c>
    </row>
    <row r="3026" spans="1:9" x14ac:dyDescent="0.3">
      <c r="A3026" t="s">
        <v>2461</v>
      </c>
      <c r="C3026" t="s">
        <v>2208</v>
      </c>
      <c r="I3026" t="s">
        <v>2271</v>
      </c>
    </row>
    <row r="3027" spans="1:9" x14ac:dyDescent="0.3">
      <c r="A3027" t="s">
        <v>2462</v>
      </c>
      <c r="C3027" t="s">
        <v>2209</v>
      </c>
      <c r="G3027" t="s">
        <v>1548</v>
      </c>
      <c r="I3027" t="s">
        <v>2272</v>
      </c>
    </row>
    <row r="3028" spans="1:9" x14ac:dyDescent="0.3">
      <c r="A3028" t="s">
        <v>2463</v>
      </c>
      <c r="C3028" t="s">
        <v>2210</v>
      </c>
      <c r="G3028" t="s">
        <v>1503</v>
      </c>
      <c r="I3028" t="s">
        <v>2273</v>
      </c>
    </row>
    <row r="3029" spans="1:9" x14ac:dyDescent="0.3">
      <c r="A3029" t="s">
        <v>2464</v>
      </c>
      <c r="C3029" t="s">
        <v>2211</v>
      </c>
      <c r="I3029" t="s">
        <v>2274</v>
      </c>
    </row>
    <row r="3030" spans="1:9" x14ac:dyDescent="0.3">
      <c r="A3030" t="s">
        <v>2465</v>
      </c>
      <c r="C3030" t="s">
        <v>2212</v>
      </c>
      <c r="G3030" t="s">
        <v>3213</v>
      </c>
      <c r="I3030" t="s">
        <v>2275</v>
      </c>
    </row>
    <row r="3031" spans="1:9" x14ac:dyDescent="0.3">
      <c r="A3031" t="s">
        <v>2466</v>
      </c>
      <c r="C3031" t="s">
        <v>2213</v>
      </c>
      <c r="I3031" t="s">
        <v>2276</v>
      </c>
    </row>
    <row r="3032" spans="1:9" x14ac:dyDescent="0.3">
      <c r="A3032" t="s">
        <v>2467</v>
      </c>
      <c r="C3032" t="s">
        <v>2214</v>
      </c>
      <c r="G3032" t="s">
        <v>940</v>
      </c>
      <c r="I3032" t="s">
        <v>2277</v>
      </c>
    </row>
    <row r="3033" spans="1:9" x14ac:dyDescent="0.3">
      <c r="A3033" t="s">
        <v>2468</v>
      </c>
      <c r="C3033" t="s">
        <v>2215</v>
      </c>
      <c r="G3033" t="s">
        <v>941</v>
      </c>
      <c r="I3033" t="s">
        <v>2278</v>
      </c>
    </row>
    <row r="3034" spans="1:9" x14ac:dyDescent="0.3">
      <c r="A3034" t="s">
        <v>2469</v>
      </c>
      <c r="C3034" t="s">
        <v>2216</v>
      </c>
      <c r="G3034" t="s">
        <v>942</v>
      </c>
      <c r="I3034" t="s">
        <v>2280</v>
      </c>
    </row>
    <row r="3035" spans="1:9" x14ac:dyDescent="0.3">
      <c r="A3035" t="s">
        <v>2470</v>
      </c>
      <c r="C3035" t="s">
        <v>2217</v>
      </c>
      <c r="G3035" t="s">
        <v>943</v>
      </c>
      <c r="I3035" t="s">
        <v>2281</v>
      </c>
    </row>
    <row r="3036" spans="1:9" x14ac:dyDescent="0.3">
      <c r="A3036" t="s">
        <v>2471</v>
      </c>
      <c r="C3036">
        <v>6</v>
      </c>
      <c r="G3036" t="s">
        <v>944</v>
      </c>
      <c r="I3036" t="s">
        <v>2282</v>
      </c>
    </row>
    <row r="3037" spans="1:9" x14ac:dyDescent="0.3">
      <c r="A3037" t="s">
        <v>2472</v>
      </c>
      <c r="C3037" t="s">
        <v>89</v>
      </c>
      <c r="G3037" t="s">
        <v>945</v>
      </c>
      <c r="I3037" t="s">
        <v>2283</v>
      </c>
    </row>
    <row r="3038" spans="1:9" x14ac:dyDescent="0.3">
      <c r="A3038" t="s">
        <v>2473</v>
      </c>
      <c r="C3038" t="s">
        <v>2218</v>
      </c>
      <c r="G3038" t="s">
        <v>946</v>
      </c>
    </row>
    <row r="3039" spans="1:9" x14ac:dyDescent="0.3">
      <c r="A3039" t="s">
        <v>2474</v>
      </c>
      <c r="C3039" t="s">
        <v>2219</v>
      </c>
      <c r="G3039" t="s">
        <v>947</v>
      </c>
    </row>
    <row r="3040" spans="1:9" x14ac:dyDescent="0.3">
      <c r="A3040" t="s">
        <v>2475</v>
      </c>
      <c r="C3040" t="s">
        <v>2220</v>
      </c>
      <c r="G3040" t="s">
        <v>948</v>
      </c>
      <c r="I3040" t="s">
        <v>2284</v>
      </c>
    </row>
    <row r="3041" spans="1:9" x14ac:dyDescent="0.3">
      <c r="A3041">
        <v>11</v>
      </c>
      <c r="C3041" t="s">
        <v>2221</v>
      </c>
      <c r="G3041" t="s">
        <v>949</v>
      </c>
      <c r="I3041" t="s">
        <v>1911</v>
      </c>
    </row>
    <row r="3042" spans="1:9" x14ac:dyDescent="0.3">
      <c r="A3042" t="s">
        <v>89</v>
      </c>
      <c r="C3042" t="s">
        <v>2222</v>
      </c>
      <c r="G3042" t="s">
        <v>950</v>
      </c>
    </row>
    <row r="3043" spans="1:9" x14ac:dyDescent="0.3">
      <c r="A3043" t="s">
        <v>2476</v>
      </c>
      <c r="C3043" t="s">
        <v>2223</v>
      </c>
      <c r="G3043" t="s">
        <v>951</v>
      </c>
      <c r="I3043" t="s">
        <v>3262</v>
      </c>
    </row>
    <row r="3044" spans="1:9" x14ac:dyDescent="0.3">
      <c r="A3044" t="s">
        <v>2477</v>
      </c>
      <c r="C3044" t="s">
        <v>2224</v>
      </c>
      <c r="G3044" t="s">
        <v>952</v>
      </c>
    </row>
    <row r="3045" spans="1:9" x14ac:dyDescent="0.3">
      <c r="A3045" t="s">
        <v>2478</v>
      </c>
      <c r="C3045" t="s">
        <v>2225</v>
      </c>
      <c r="G3045" t="s">
        <v>953</v>
      </c>
      <c r="I3045" t="s">
        <v>2285</v>
      </c>
    </row>
    <row r="3046" spans="1:9" x14ac:dyDescent="0.3">
      <c r="A3046" t="s">
        <v>2479</v>
      </c>
      <c r="C3046" t="s">
        <v>2226</v>
      </c>
      <c r="G3046" t="s">
        <v>954</v>
      </c>
      <c r="I3046" t="s">
        <v>2286</v>
      </c>
    </row>
    <row r="3047" spans="1:9" x14ac:dyDescent="0.3">
      <c r="A3047" t="s">
        <v>2480</v>
      </c>
      <c r="C3047" t="s">
        <v>2227</v>
      </c>
      <c r="G3047" t="s">
        <v>955</v>
      </c>
      <c r="I3047" t="s">
        <v>2287</v>
      </c>
    </row>
    <row r="3048" spans="1:9" x14ac:dyDescent="0.3">
      <c r="A3048" t="s">
        <v>2481</v>
      </c>
      <c r="C3048" t="s">
        <v>2229</v>
      </c>
      <c r="G3048" t="s">
        <v>956</v>
      </c>
      <c r="I3048" t="s">
        <v>2288</v>
      </c>
    </row>
    <row r="3049" spans="1:9" x14ac:dyDescent="0.3">
      <c r="A3049" t="s">
        <v>2482</v>
      </c>
      <c r="C3049" t="s">
        <v>2230</v>
      </c>
      <c r="G3049" t="s">
        <v>959</v>
      </c>
      <c r="I3049" t="s">
        <v>2289</v>
      </c>
    </row>
    <row r="3050" spans="1:9" x14ac:dyDescent="0.3">
      <c r="A3050" t="s">
        <v>2483</v>
      </c>
      <c r="C3050" t="s">
        <v>2231</v>
      </c>
      <c r="G3050" t="s">
        <v>960</v>
      </c>
      <c r="I3050" t="s">
        <v>2290</v>
      </c>
    </row>
    <row r="3051" spans="1:9" x14ac:dyDescent="0.3">
      <c r="A3051" t="s">
        <v>2484</v>
      </c>
      <c r="C3051" t="s">
        <v>2232</v>
      </c>
      <c r="G3051" t="s">
        <v>961</v>
      </c>
      <c r="I3051" t="s">
        <v>2291</v>
      </c>
    </row>
    <row r="3052" spans="1:9" x14ac:dyDescent="0.3">
      <c r="A3052" t="s">
        <v>2485</v>
      </c>
      <c r="C3052" t="s">
        <v>2233</v>
      </c>
      <c r="G3052" t="s">
        <v>962</v>
      </c>
      <c r="I3052" t="s">
        <v>2292</v>
      </c>
    </row>
    <row r="3053" spans="1:9" x14ac:dyDescent="0.3">
      <c r="A3053" t="s">
        <v>2486</v>
      </c>
      <c r="C3053" t="s">
        <v>2234</v>
      </c>
      <c r="G3053" t="s">
        <v>963</v>
      </c>
      <c r="I3053" t="s">
        <v>2293</v>
      </c>
    </row>
    <row r="3054" spans="1:9" x14ac:dyDescent="0.3">
      <c r="A3054" t="s">
        <v>2487</v>
      </c>
      <c r="C3054" t="s">
        <v>2235</v>
      </c>
      <c r="G3054" t="s">
        <v>964</v>
      </c>
      <c r="I3054" t="s">
        <v>2294</v>
      </c>
    </row>
    <row r="3055" spans="1:9" x14ac:dyDescent="0.3">
      <c r="A3055" t="s">
        <v>2488</v>
      </c>
      <c r="G3055" t="s">
        <v>965</v>
      </c>
      <c r="I3055" t="s">
        <v>2295</v>
      </c>
    </row>
    <row r="3056" spans="1:9" x14ac:dyDescent="0.3">
      <c r="A3056" t="s">
        <v>2489</v>
      </c>
      <c r="G3056" t="s">
        <v>966</v>
      </c>
      <c r="I3056" t="s">
        <v>2296</v>
      </c>
    </row>
    <row r="3057" spans="1:9" x14ac:dyDescent="0.3">
      <c r="C3057" t="s">
        <v>1767</v>
      </c>
      <c r="G3057" t="s">
        <v>967</v>
      </c>
      <c r="I3057" t="s">
        <v>2297</v>
      </c>
    </row>
    <row r="3058" spans="1:9" x14ac:dyDescent="0.3">
      <c r="C3058" t="s">
        <v>1911</v>
      </c>
      <c r="G3058" t="s">
        <v>968</v>
      </c>
      <c r="I3058" t="s">
        <v>2298</v>
      </c>
    </row>
    <row r="3059" spans="1:9" x14ac:dyDescent="0.3">
      <c r="A3059" t="s">
        <v>2490</v>
      </c>
      <c r="G3059" t="s">
        <v>969</v>
      </c>
      <c r="I3059" t="s">
        <v>2299</v>
      </c>
    </row>
    <row r="3060" spans="1:9" x14ac:dyDescent="0.3">
      <c r="A3060" t="s">
        <v>1911</v>
      </c>
      <c r="C3060" t="s">
        <v>3231</v>
      </c>
      <c r="G3060" t="s">
        <v>970</v>
      </c>
      <c r="I3060" t="s">
        <v>2300</v>
      </c>
    </row>
    <row r="3061" spans="1:9" x14ac:dyDescent="0.3">
      <c r="G3061" t="s">
        <v>971</v>
      </c>
      <c r="I3061" t="s">
        <v>2301</v>
      </c>
    </row>
    <row r="3062" spans="1:9" x14ac:dyDescent="0.3">
      <c r="A3062" t="s">
        <v>2491</v>
      </c>
      <c r="C3062" t="s">
        <v>2227</v>
      </c>
      <c r="G3062" t="s">
        <v>3975</v>
      </c>
      <c r="I3062" t="s">
        <v>2302</v>
      </c>
    </row>
    <row r="3063" spans="1:9" x14ac:dyDescent="0.3">
      <c r="A3063" t="s">
        <v>2492</v>
      </c>
      <c r="C3063" t="s">
        <v>2229</v>
      </c>
      <c r="I3063" t="s">
        <v>2303</v>
      </c>
    </row>
    <row r="3064" spans="1:9" x14ac:dyDescent="0.3">
      <c r="A3064" t="s">
        <v>2493</v>
      </c>
      <c r="C3064" t="s">
        <v>2230</v>
      </c>
      <c r="I3064" t="s">
        <v>2304</v>
      </c>
    </row>
    <row r="3065" spans="1:9" x14ac:dyDescent="0.3">
      <c r="A3065" t="s">
        <v>2494</v>
      </c>
      <c r="C3065" t="s">
        <v>2231</v>
      </c>
      <c r="G3065" t="s">
        <v>1550</v>
      </c>
      <c r="I3065" t="s">
        <v>2305</v>
      </c>
    </row>
    <row r="3066" spans="1:9" x14ac:dyDescent="0.3">
      <c r="A3066" t="s">
        <v>2495</v>
      </c>
      <c r="C3066" t="s">
        <v>2232</v>
      </c>
      <c r="G3066" t="s">
        <v>1503</v>
      </c>
      <c r="I3066" t="s">
        <v>2306</v>
      </c>
    </row>
    <row r="3067" spans="1:9" x14ac:dyDescent="0.3">
      <c r="A3067" t="s">
        <v>2496</v>
      </c>
      <c r="C3067" t="s">
        <v>2233</v>
      </c>
      <c r="I3067" t="s">
        <v>2307</v>
      </c>
    </row>
    <row r="3068" spans="1:9" x14ac:dyDescent="0.3">
      <c r="A3068" t="s">
        <v>2497</v>
      </c>
      <c r="C3068" t="s">
        <v>2234</v>
      </c>
      <c r="G3068" t="s">
        <v>3214</v>
      </c>
      <c r="I3068" t="s">
        <v>2308</v>
      </c>
    </row>
    <row r="3069" spans="1:9" x14ac:dyDescent="0.3">
      <c r="A3069" t="s">
        <v>2498</v>
      </c>
      <c r="C3069" t="s">
        <v>2235</v>
      </c>
      <c r="I3069" t="s">
        <v>2309</v>
      </c>
    </row>
    <row r="3070" spans="1:9" x14ac:dyDescent="0.3">
      <c r="A3070" t="s">
        <v>2499</v>
      </c>
      <c r="C3070" t="s">
        <v>2236</v>
      </c>
      <c r="G3070" t="s">
        <v>968</v>
      </c>
      <c r="I3070" t="s">
        <v>2310</v>
      </c>
    </row>
    <row r="3071" spans="1:9" x14ac:dyDescent="0.3">
      <c r="A3071" t="s">
        <v>2500</v>
      </c>
      <c r="C3071" t="s">
        <v>2237</v>
      </c>
      <c r="G3071" t="s">
        <v>969</v>
      </c>
      <c r="I3071" t="s">
        <v>2311</v>
      </c>
    </row>
    <row r="3072" spans="1:9" x14ac:dyDescent="0.3">
      <c r="A3072" t="s">
        <v>2493</v>
      </c>
      <c r="C3072" t="s">
        <v>2238</v>
      </c>
      <c r="G3072" t="s">
        <v>970</v>
      </c>
      <c r="I3072" t="s">
        <v>2312</v>
      </c>
    </row>
    <row r="3073" spans="1:9" x14ac:dyDescent="0.3">
      <c r="A3073" t="s">
        <v>2501</v>
      </c>
      <c r="C3073" t="s">
        <v>2239</v>
      </c>
      <c r="G3073" t="s">
        <v>971</v>
      </c>
      <c r="I3073" t="s">
        <v>2313</v>
      </c>
    </row>
    <row r="3074" spans="1:9" x14ac:dyDescent="0.3">
      <c r="A3074" t="s">
        <v>2502</v>
      </c>
      <c r="C3074" t="s">
        <v>2240</v>
      </c>
      <c r="G3074" t="s">
        <v>972</v>
      </c>
      <c r="I3074" t="s">
        <v>2314</v>
      </c>
    </row>
    <row r="3075" spans="1:9" x14ac:dyDescent="0.3">
      <c r="A3075" t="s">
        <v>2503</v>
      </c>
      <c r="C3075" t="s">
        <v>2241</v>
      </c>
      <c r="G3075" t="s">
        <v>973</v>
      </c>
      <c r="I3075" t="s">
        <v>2315</v>
      </c>
    </row>
    <row r="3076" spans="1:9" x14ac:dyDescent="0.3">
      <c r="A3076" t="s">
        <v>2504</v>
      </c>
      <c r="C3076" t="s">
        <v>2242</v>
      </c>
      <c r="G3076" t="s">
        <v>89</v>
      </c>
    </row>
    <row r="3077" spans="1:9" x14ac:dyDescent="0.3">
      <c r="A3077" t="s">
        <v>2505</v>
      </c>
      <c r="C3077" t="s">
        <v>2243</v>
      </c>
      <c r="G3077" t="s">
        <v>974</v>
      </c>
    </row>
    <row r="3078" spans="1:9" x14ac:dyDescent="0.3">
      <c r="A3078" t="s">
        <v>2506</v>
      </c>
      <c r="C3078" t="s">
        <v>2244</v>
      </c>
      <c r="G3078" t="s">
        <v>975</v>
      </c>
      <c r="I3078" t="s">
        <v>2316</v>
      </c>
    </row>
    <row r="3079" spans="1:9" x14ac:dyDescent="0.3">
      <c r="A3079" t="s">
        <v>2507</v>
      </c>
      <c r="C3079" t="s">
        <v>2245</v>
      </c>
      <c r="G3079" t="s">
        <v>976</v>
      </c>
      <c r="I3079" t="s">
        <v>1911</v>
      </c>
    </row>
    <row r="3080" spans="1:9" x14ac:dyDescent="0.3">
      <c r="A3080" t="s">
        <v>2508</v>
      </c>
      <c r="C3080" t="s">
        <v>2246</v>
      </c>
      <c r="G3080" t="s">
        <v>977</v>
      </c>
    </row>
    <row r="3081" spans="1:9" x14ac:dyDescent="0.3">
      <c r="A3081" t="s">
        <v>2509</v>
      </c>
      <c r="C3081" t="s">
        <v>2247</v>
      </c>
      <c r="G3081" t="s">
        <v>980</v>
      </c>
      <c r="I3081" t="s">
        <v>3263</v>
      </c>
    </row>
    <row r="3082" spans="1:9" x14ac:dyDescent="0.3">
      <c r="C3082" t="s">
        <v>2248</v>
      </c>
      <c r="G3082" t="s">
        <v>981</v>
      </c>
    </row>
    <row r="3083" spans="1:9" x14ac:dyDescent="0.3">
      <c r="C3083" t="s">
        <v>2249</v>
      </c>
      <c r="G3083" t="s">
        <v>982</v>
      </c>
      <c r="I3083" t="s">
        <v>2317</v>
      </c>
    </row>
    <row r="3084" spans="1:9" x14ac:dyDescent="0.3">
      <c r="A3084" t="s">
        <v>2510</v>
      </c>
      <c r="C3084" t="s">
        <v>2250</v>
      </c>
      <c r="G3084" t="s">
        <v>983</v>
      </c>
      <c r="I3084" t="s">
        <v>2318</v>
      </c>
    </row>
    <row r="3085" spans="1:9" x14ac:dyDescent="0.3">
      <c r="A3085" t="s">
        <v>1911</v>
      </c>
      <c r="C3085" t="s">
        <v>2251</v>
      </c>
      <c r="G3085" t="s">
        <v>984</v>
      </c>
      <c r="I3085" t="s">
        <v>2319</v>
      </c>
    </row>
    <row r="3086" spans="1:9" x14ac:dyDescent="0.3">
      <c r="C3086" t="s">
        <v>2252</v>
      </c>
      <c r="G3086" t="s">
        <v>985</v>
      </c>
      <c r="I3086" t="s">
        <v>2320</v>
      </c>
    </row>
    <row r="3087" spans="1:9" x14ac:dyDescent="0.3">
      <c r="A3087" t="s">
        <v>2511</v>
      </c>
      <c r="C3087" t="s">
        <v>2254</v>
      </c>
      <c r="G3087" t="s">
        <v>986</v>
      </c>
      <c r="I3087" t="s">
        <v>2321</v>
      </c>
    </row>
    <row r="3088" spans="1:9" x14ac:dyDescent="0.3">
      <c r="A3088" t="s">
        <v>2512</v>
      </c>
      <c r="C3088" t="s">
        <v>2255</v>
      </c>
      <c r="G3088" t="s">
        <v>987</v>
      </c>
      <c r="I3088" t="s">
        <v>467</v>
      </c>
    </row>
    <row r="3089" spans="1:9" x14ac:dyDescent="0.3">
      <c r="A3089" t="s">
        <v>2513</v>
      </c>
      <c r="C3089" t="s">
        <v>2256</v>
      </c>
      <c r="G3089" t="s">
        <v>988</v>
      </c>
      <c r="I3089">
        <v>8</v>
      </c>
    </row>
    <row r="3090" spans="1:9" x14ac:dyDescent="0.3">
      <c r="A3090" t="s">
        <v>2514</v>
      </c>
      <c r="C3090" t="s">
        <v>2257</v>
      </c>
      <c r="G3090" t="s">
        <v>989</v>
      </c>
      <c r="I3090" t="s">
        <v>89</v>
      </c>
    </row>
    <row r="3091" spans="1:9" x14ac:dyDescent="0.3">
      <c r="A3091" t="s">
        <v>286</v>
      </c>
      <c r="C3091" t="s">
        <v>2258</v>
      </c>
      <c r="G3091" t="s">
        <v>990</v>
      </c>
      <c r="I3091" t="s">
        <v>2322</v>
      </c>
    </row>
    <row r="3092" spans="1:9" x14ac:dyDescent="0.3">
      <c r="A3092" t="s">
        <v>287</v>
      </c>
      <c r="C3092" t="s">
        <v>2259</v>
      </c>
      <c r="G3092" t="s">
        <v>991</v>
      </c>
      <c r="I3092" t="s">
        <v>2323</v>
      </c>
    </row>
    <row r="3093" spans="1:9" x14ac:dyDescent="0.3">
      <c r="A3093" t="s">
        <v>2515</v>
      </c>
      <c r="C3093" t="s">
        <v>2260</v>
      </c>
      <c r="G3093" t="s">
        <v>992</v>
      </c>
      <c r="I3093" t="s">
        <v>2324</v>
      </c>
    </row>
    <row r="3094" spans="1:9" x14ac:dyDescent="0.3">
      <c r="A3094" t="s">
        <v>2516</v>
      </c>
      <c r="C3094" t="s">
        <v>2261</v>
      </c>
      <c r="G3094" t="s">
        <v>993</v>
      </c>
      <c r="I3094" t="s">
        <v>2325</v>
      </c>
    </row>
    <row r="3095" spans="1:9" x14ac:dyDescent="0.3">
      <c r="A3095" t="s">
        <v>2517</v>
      </c>
      <c r="G3095" t="s">
        <v>994</v>
      </c>
      <c r="I3095" t="s">
        <v>2326</v>
      </c>
    </row>
    <row r="3096" spans="1:9" x14ac:dyDescent="0.3">
      <c r="A3096" t="s">
        <v>2518</v>
      </c>
      <c r="G3096" t="s">
        <v>995</v>
      </c>
      <c r="I3096" t="s">
        <v>2327</v>
      </c>
    </row>
    <row r="3097" spans="1:9" x14ac:dyDescent="0.3">
      <c r="A3097" t="s">
        <v>2519</v>
      </c>
      <c r="C3097" t="s">
        <v>1790</v>
      </c>
      <c r="G3097" t="s">
        <v>3976</v>
      </c>
      <c r="I3097" t="s">
        <v>2328</v>
      </c>
    </row>
    <row r="3098" spans="1:9" x14ac:dyDescent="0.3">
      <c r="A3098" t="s">
        <v>2520</v>
      </c>
      <c r="C3098" t="s">
        <v>1911</v>
      </c>
      <c r="I3098" t="s">
        <v>2329</v>
      </c>
    </row>
    <row r="3099" spans="1:9" x14ac:dyDescent="0.3">
      <c r="A3099" t="s">
        <v>2521</v>
      </c>
      <c r="I3099" t="s">
        <v>2330</v>
      </c>
    </row>
    <row r="3100" spans="1:9" x14ac:dyDescent="0.3">
      <c r="A3100" t="s">
        <v>2522</v>
      </c>
      <c r="C3100" t="s">
        <v>3232</v>
      </c>
      <c r="G3100" t="s">
        <v>1552</v>
      </c>
      <c r="I3100" t="s">
        <v>2331</v>
      </c>
    </row>
    <row r="3101" spans="1:9" x14ac:dyDescent="0.3">
      <c r="A3101" t="s">
        <v>2523</v>
      </c>
      <c r="G3101" t="s">
        <v>1503</v>
      </c>
      <c r="I3101" t="s">
        <v>2332</v>
      </c>
    </row>
    <row r="3102" spans="1:9" x14ac:dyDescent="0.3">
      <c r="A3102" t="s">
        <v>2524</v>
      </c>
      <c r="C3102" t="s">
        <v>2252</v>
      </c>
    </row>
    <row r="3103" spans="1:9" x14ac:dyDescent="0.3">
      <c r="A3103">
        <v>12</v>
      </c>
      <c r="C3103" t="s">
        <v>2254</v>
      </c>
      <c r="G3103" t="s">
        <v>3215</v>
      </c>
    </row>
    <row r="3104" spans="1:9" x14ac:dyDescent="0.3">
      <c r="A3104" t="s">
        <v>89</v>
      </c>
      <c r="C3104" t="s">
        <v>2255</v>
      </c>
      <c r="I3104" t="s">
        <v>2333</v>
      </c>
    </row>
    <row r="3105" spans="1:9" x14ac:dyDescent="0.3">
      <c r="A3105" t="s">
        <v>2525</v>
      </c>
      <c r="C3105" t="s">
        <v>2256</v>
      </c>
      <c r="G3105" t="s">
        <v>992</v>
      </c>
      <c r="I3105" t="s">
        <v>1911</v>
      </c>
    </row>
    <row r="3106" spans="1:9" x14ac:dyDescent="0.3">
      <c r="A3106" t="s">
        <v>2526</v>
      </c>
      <c r="C3106" t="s">
        <v>2257</v>
      </c>
      <c r="G3106" t="s">
        <v>993</v>
      </c>
    </row>
    <row r="3107" spans="1:9" x14ac:dyDescent="0.3">
      <c r="A3107" t="s">
        <v>2527</v>
      </c>
      <c r="C3107" t="s">
        <v>2258</v>
      </c>
      <c r="G3107" t="s">
        <v>994</v>
      </c>
      <c r="I3107" t="s">
        <v>3264</v>
      </c>
    </row>
    <row r="3108" spans="1:9" x14ac:dyDescent="0.3">
      <c r="A3108" t="s">
        <v>2528</v>
      </c>
      <c r="C3108" t="s">
        <v>2259</v>
      </c>
      <c r="G3108" t="s">
        <v>995</v>
      </c>
    </row>
    <row r="3109" spans="1:9" x14ac:dyDescent="0.3">
      <c r="A3109" t="s">
        <v>2529</v>
      </c>
      <c r="C3109" t="s">
        <v>2260</v>
      </c>
      <c r="G3109" t="s">
        <v>996</v>
      </c>
      <c r="I3109" t="s">
        <v>2334</v>
      </c>
    </row>
    <row r="3110" spans="1:9" x14ac:dyDescent="0.3">
      <c r="C3110" t="s">
        <v>2261</v>
      </c>
      <c r="G3110" t="s">
        <v>997</v>
      </c>
      <c r="I3110" t="s">
        <v>2335</v>
      </c>
    </row>
    <row r="3111" spans="1:9" x14ac:dyDescent="0.3">
      <c r="C3111" t="s">
        <v>2262</v>
      </c>
      <c r="G3111" t="s">
        <v>998</v>
      </c>
      <c r="I3111" t="s">
        <v>2336</v>
      </c>
    </row>
    <row r="3112" spans="1:9" x14ac:dyDescent="0.3">
      <c r="A3112" t="s">
        <v>2530</v>
      </c>
      <c r="C3112" t="s">
        <v>2263</v>
      </c>
      <c r="G3112" t="s">
        <v>1001</v>
      </c>
      <c r="I3112" t="s">
        <v>2337</v>
      </c>
    </row>
    <row r="3113" spans="1:9" x14ac:dyDescent="0.3">
      <c r="A3113" t="s">
        <v>1911</v>
      </c>
      <c r="C3113" t="s">
        <v>2264</v>
      </c>
      <c r="G3113" t="s">
        <v>1002</v>
      </c>
      <c r="I3113" t="s">
        <v>2338</v>
      </c>
    </row>
    <row r="3114" spans="1:9" x14ac:dyDescent="0.3">
      <c r="C3114" t="s">
        <v>2265</v>
      </c>
      <c r="G3114" t="s">
        <v>1003</v>
      </c>
    </row>
    <row r="3115" spans="1:9" x14ac:dyDescent="0.3">
      <c r="A3115" t="s">
        <v>2531</v>
      </c>
      <c r="C3115" t="s">
        <v>2266</v>
      </c>
      <c r="G3115" t="s">
        <v>1004</v>
      </c>
    </row>
    <row r="3116" spans="1:9" x14ac:dyDescent="0.3">
      <c r="A3116" t="s">
        <v>2532</v>
      </c>
      <c r="C3116" t="s">
        <v>2267</v>
      </c>
      <c r="G3116" t="s">
        <v>1005</v>
      </c>
      <c r="I3116" t="s">
        <v>2339</v>
      </c>
    </row>
    <row r="3117" spans="1:9" x14ac:dyDescent="0.3">
      <c r="A3117" t="s">
        <v>2533</v>
      </c>
      <c r="C3117" t="s">
        <v>2268</v>
      </c>
      <c r="G3117" t="s">
        <v>1006</v>
      </c>
      <c r="I3117" t="s">
        <v>1911</v>
      </c>
    </row>
    <row r="3118" spans="1:9" x14ac:dyDescent="0.3">
      <c r="A3118" t="s">
        <v>2534</v>
      </c>
      <c r="C3118" t="s">
        <v>2269</v>
      </c>
      <c r="G3118" t="s">
        <v>1007</v>
      </c>
    </row>
    <row r="3119" spans="1:9" x14ac:dyDescent="0.3">
      <c r="A3119" t="s">
        <v>2535</v>
      </c>
      <c r="C3119">
        <v>7</v>
      </c>
      <c r="G3119" t="s">
        <v>1008</v>
      </c>
      <c r="I3119" t="s">
        <v>3265</v>
      </c>
    </row>
    <row r="3120" spans="1:9" x14ac:dyDescent="0.3">
      <c r="A3120" t="s">
        <v>2536</v>
      </c>
      <c r="C3120" t="s">
        <v>89</v>
      </c>
      <c r="G3120" t="s">
        <v>1009</v>
      </c>
    </row>
    <row r="3121" spans="1:9" x14ac:dyDescent="0.3">
      <c r="A3121" t="s">
        <v>2537</v>
      </c>
      <c r="C3121" t="s">
        <v>2270</v>
      </c>
      <c r="G3121" t="s">
        <v>1010</v>
      </c>
      <c r="I3121" t="s">
        <v>2340</v>
      </c>
    </row>
    <row r="3122" spans="1:9" x14ac:dyDescent="0.3">
      <c r="A3122" t="s">
        <v>2538</v>
      </c>
      <c r="C3122" t="s">
        <v>2271</v>
      </c>
      <c r="G3122" t="s">
        <v>1011</v>
      </c>
      <c r="I3122" t="s">
        <v>2341</v>
      </c>
    </row>
    <row r="3123" spans="1:9" x14ac:dyDescent="0.3">
      <c r="A3123" t="s">
        <v>2539</v>
      </c>
      <c r="C3123" t="s">
        <v>2272</v>
      </c>
      <c r="G3123" t="s">
        <v>1012</v>
      </c>
      <c r="I3123" t="s">
        <v>2342</v>
      </c>
    </row>
    <row r="3124" spans="1:9" x14ac:dyDescent="0.3">
      <c r="A3124" t="s">
        <v>2540</v>
      </c>
      <c r="C3124" t="s">
        <v>2273</v>
      </c>
      <c r="G3124" t="s">
        <v>1013</v>
      </c>
      <c r="I3124" t="s">
        <v>2343</v>
      </c>
    </row>
    <row r="3125" spans="1:9" x14ac:dyDescent="0.3">
      <c r="A3125" t="s">
        <v>2541</v>
      </c>
      <c r="C3125" t="s">
        <v>2274</v>
      </c>
      <c r="G3125" t="s">
        <v>1014</v>
      </c>
      <c r="I3125" t="s">
        <v>2344</v>
      </c>
    </row>
    <row r="3126" spans="1:9" x14ac:dyDescent="0.3">
      <c r="A3126" t="s">
        <v>2542</v>
      </c>
      <c r="C3126" t="s">
        <v>2275</v>
      </c>
      <c r="G3126" t="s">
        <v>1015</v>
      </c>
      <c r="I3126" t="s">
        <v>2345</v>
      </c>
    </row>
    <row r="3127" spans="1:9" x14ac:dyDescent="0.3">
      <c r="A3127" t="s">
        <v>2543</v>
      </c>
      <c r="C3127" t="s">
        <v>2276</v>
      </c>
      <c r="G3127" t="s">
        <v>1016</v>
      </c>
      <c r="I3127" t="s">
        <v>2346</v>
      </c>
    </row>
    <row r="3128" spans="1:9" x14ac:dyDescent="0.3">
      <c r="A3128" t="s">
        <v>2544</v>
      </c>
      <c r="C3128" t="s">
        <v>2277</v>
      </c>
      <c r="G3128" t="s">
        <v>1017</v>
      </c>
      <c r="I3128" t="s">
        <v>2347</v>
      </c>
    </row>
    <row r="3129" spans="1:9" x14ac:dyDescent="0.3">
      <c r="C3129" t="s">
        <v>2278</v>
      </c>
      <c r="G3129" t="s">
        <v>1018</v>
      </c>
      <c r="I3129" t="s">
        <v>2348</v>
      </c>
    </row>
    <row r="3130" spans="1:9" x14ac:dyDescent="0.3">
      <c r="C3130" t="s">
        <v>2280</v>
      </c>
      <c r="G3130" t="s">
        <v>1019</v>
      </c>
      <c r="I3130" t="s">
        <v>2349</v>
      </c>
    </row>
    <row r="3131" spans="1:9" x14ac:dyDescent="0.3">
      <c r="A3131" t="s">
        <v>2545</v>
      </c>
      <c r="C3131" t="s">
        <v>2281</v>
      </c>
      <c r="G3131" t="s">
        <v>1020</v>
      </c>
      <c r="I3131" t="s">
        <v>2350</v>
      </c>
    </row>
    <row r="3132" spans="1:9" x14ac:dyDescent="0.3">
      <c r="A3132" t="s">
        <v>1911</v>
      </c>
      <c r="C3132" t="s">
        <v>2282</v>
      </c>
      <c r="G3132" t="s">
        <v>1021</v>
      </c>
      <c r="I3132" t="s">
        <v>2351</v>
      </c>
    </row>
    <row r="3133" spans="1:9" x14ac:dyDescent="0.3">
      <c r="C3133" t="s">
        <v>2283</v>
      </c>
      <c r="I3133" t="s">
        <v>2352</v>
      </c>
    </row>
    <row r="3134" spans="1:9" x14ac:dyDescent="0.3">
      <c r="A3134" t="s">
        <v>2546</v>
      </c>
      <c r="C3134" t="s">
        <v>2285</v>
      </c>
      <c r="I3134" t="s">
        <v>2353</v>
      </c>
    </row>
    <row r="3135" spans="1:9" x14ac:dyDescent="0.3">
      <c r="A3135" t="s">
        <v>2547</v>
      </c>
      <c r="C3135" t="s">
        <v>2286</v>
      </c>
      <c r="G3135" t="s">
        <v>1553</v>
      </c>
      <c r="I3135" t="s">
        <v>2354</v>
      </c>
    </row>
    <row r="3136" spans="1:9" x14ac:dyDescent="0.3">
      <c r="A3136" t="s">
        <v>2548</v>
      </c>
      <c r="C3136" t="s">
        <v>2287</v>
      </c>
      <c r="G3136" t="s">
        <v>1503</v>
      </c>
      <c r="I3136" t="s">
        <v>2355</v>
      </c>
    </row>
    <row r="3137" spans="1:9" x14ac:dyDescent="0.3">
      <c r="A3137" t="s">
        <v>2549</v>
      </c>
      <c r="I3137" t="s">
        <v>2356</v>
      </c>
    </row>
    <row r="3138" spans="1:9" x14ac:dyDescent="0.3">
      <c r="A3138" t="s">
        <v>2550</v>
      </c>
      <c r="G3138" t="s">
        <v>3216</v>
      </c>
      <c r="I3138" t="s">
        <v>2357</v>
      </c>
    </row>
    <row r="3139" spans="1:9" x14ac:dyDescent="0.3">
      <c r="A3139" t="s">
        <v>2551</v>
      </c>
      <c r="C3139" t="s">
        <v>1808</v>
      </c>
      <c r="I3139" t="s">
        <v>2358</v>
      </c>
    </row>
    <row r="3140" spans="1:9" x14ac:dyDescent="0.3">
      <c r="A3140" t="s">
        <v>2552</v>
      </c>
      <c r="C3140" t="s">
        <v>1911</v>
      </c>
      <c r="G3140" t="s">
        <v>1017</v>
      </c>
      <c r="I3140" t="s">
        <v>2359</v>
      </c>
    </row>
    <row r="3141" spans="1:9" x14ac:dyDescent="0.3">
      <c r="A3141" t="s">
        <v>2553</v>
      </c>
      <c r="G3141" t="s">
        <v>1018</v>
      </c>
      <c r="I3141" t="s">
        <v>2360</v>
      </c>
    </row>
    <row r="3142" spans="1:9" x14ac:dyDescent="0.3">
      <c r="A3142" t="s">
        <v>2554</v>
      </c>
      <c r="C3142" t="s">
        <v>3233</v>
      </c>
      <c r="G3142" t="s">
        <v>1019</v>
      </c>
      <c r="I3142" t="s">
        <v>2361</v>
      </c>
    </row>
    <row r="3143" spans="1:9" x14ac:dyDescent="0.3">
      <c r="A3143" t="s">
        <v>2555</v>
      </c>
      <c r="G3143" t="s">
        <v>1020</v>
      </c>
      <c r="I3143" t="s">
        <v>2362</v>
      </c>
    </row>
    <row r="3144" spans="1:9" x14ac:dyDescent="0.3">
      <c r="A3144" t="s">
        <v>2556</v>
      </c>
      <c r="C3144" t="s">
        <v>2276</v>
      </c>
      <c r="G3144" t="s">
        <v>1023</v>
      </c>
      <c r="I3144" t="s">
        <v>657</v>
      </c>
    </row>
    <row r="3145" spans="1:9" x14ac:dyDescent="0.3">
      <c r="C3145" t="s">
        <v>2277</v>
      </c>
      <c r="G3145" t="s">
        <v>1024</v>
      </c>
      <c r="I3145" t="s">
        <v>2363</v>
      </c>
    </row>
    <row r="3146" spans="1:9" x14ac:dyDescent="0.3">
      <c r="C3146" t="s">
        <v>2278</v>
      </c>
      <c r="G3146" t="s">
        <v>1025</v>
      </c>
      <c r="I3146" t="s">
        <v>2364</v>
      </c>
    </row>
    <row r="3147" spans="1:9" x14ac:dyDescent="0.3">
      <c r="A3147" t="s">
        <v>2557</v>
      </c>
      <c r="C3147" t="s">
        <v>2280</v>
      </c>
      <c r="G3147" t="s">
        <v>1026</v>
      </c>
      <c r="I3147" t="s">
        <v>2365</v>
      </c>
    </row>
    <row r="3148" spans="1:9" x14ac:dyDescent="0.3">
      <c r="A3148" t="s">
        <v>1911</v>
      </c>
      <c r="C3148" t="s">
        <v>2281</v>
      </c>
      <c r="G3148" t="s">
        <v>1027</v>
      </c>
      <c r="I3148" t="s">
        <v>2366</v>
      </c>
    </row>
    <row r="3149" spans="1:9" x14ac:dyDescent="0.3">
      <c r="C3149" t="s">
        <v>2282</v>
      </c>
      <c r="G3149" t="s">
        <v>1028</v>
      </c>
      <c r="I3149" t="s">
        <v>2367</v>
      </c>
    </row>
    <row r="3150" spans="1:9" x14ac:dyDescent="0.3">
      <c r="A3150" t="s">
        <v>2558</v>
      </c>
      <c r="C3150" t="s">
        <v>2283</v>
      </c>
      <c r="G3150" t="s">
        <v>1029</v>
      </c>
      <c r="I3150" t="s">
        <v>2368</v>
      </c>
    </row>
    <row r="3151" spans="1:9" x14ac:dyDescent="0.3">
      <c r="A3151" t="s">
        <v>2559</v>
      </c>
      <c r="C3151" t="s">
        <v>2285</v>
      </c>
      <c r="G3151" t="s">
        <v>1030</v>
      </c>
      <c r="I3151" t="s">
        <v>2369</v>
      </c>
    </row>
    <row r="3152" spans="1:9" x14ac:dyDescent="0.3">
      <c r="A3152" t="s">
        <v>2560</v>
      </c>
      <c r="C3152" t="s">
        <v>2286</v>
      </c>
      <c r="G3152" t="s">
        <v>614</v>
      </c>
      <c r="I3152" t="s">
        <v>2360</v>
      </c>
    </row>
    <row r="3153" spans="1:9" x14ac:dyDescent="0.3">
      <c r="A3153" t="s">
        <v>2561</v>
      </c>
      <c r="C3153" t="s">
        <v>2287</v>
      </c>
      <c r="G3153" t="s">
        <v>1031</v>
      </c>
      <c r="I3153" t="s">
        <v>2370</v>
      </c>
    </row>
    <row r="3154" spans="1:9" x14ac:dyDescent="0.3">
      <c r="A3154" t="s">
        <v>2562</v>
      </c>
      <c r="C3154" t="s">
        <v>2288</v>
      </c>
      <c r="G3154" t="s">
        <v>1032</v>
      </c>
      <c r="I3154" t="s">
        <v>2371</v>
      </c>
    </row>
    <row r="3155" spans="1:9" x14ac:dyDescent="0.3">
      <c r="A3155" t="s">
        <v>2563</v>
      </c>
      <c r="C3155" t="s">
        <v>2289</v>
      </c>
      <c r="G3155" t="s">
        <v>1033</v>
      </c>
      <c r="I3155">
        <v>9</v>
      </c>
    </row>
    <row r="3156" spans="1:9" x14ac:dyDescent="0.3">
      <c r="A3156" t="s">
        <v>2564</v>
      </c>
      <c r="C3156" t="s">
        <v>2290</v>
      </c>
      <c r="G3156" t="s">
        <v>89</v>
      </c>
      <c r="I3156" t="s">
        <v>89</v>
      </c>
    </row>
    <row r="3157" spans="1:9" x14ac:dyDescent="0.3">
      <c r="A3157" t="s">
        <v>2565</v>
      </c>
      <c r="C3157" t="s">
        <v>2291</v>
      </c>
      <c r="G3157" t="s">
        <v>1034</v>
      </c>
      <c r="I3157" t="s">
        <v>2372</v>
      </c>
    </row>
    <row r="3158" spans="1:9" x14ac:dyDescent="0.3">
      <c r="A3158" t="s">
        <v>2566</v>
      </c>
      <c r="C3158" t="s">
        <v>2292</v>
      </c>
      <c r="G3158" t="s">
        <v>1035</v>
      </c>
    </row>
    <row r="3159" spans="1:9" x14ac:dyDescent="0.3">
      <c r="A3159" t="e">
        <f>- lettera raccomandata o telegramma spediti al domicilio di</f>
        <v>#NAME?</v>
      </c>
      <c r="C3159" t="s">
        <v>2293</v>
      </c>
      <c r="G3159" t="s">
        <v>1036</v>
      </c>
    </row>
    <row r="3160" spans="1:9" x14ac:dyDescent="0.3">
      <c r="A3160" t="s">
        <v>2567</v>
      </c>
      <c r="C3160" t="s">
        <v>2294</v>
      </c>
      <c r="G3160" t="s">
        <v>1037</v>
      </c>
      <c r="I3160" t="s">
        <v>2373</v>
      </c>
    </row>
    <row r="3161" spans="1:9" x14ac:dyDescent="0.3">
      <c r="A3161" t="s">
        <v>2568</v>
      </c>
      <c r="C3161" t="s">
        <v>2295</v>
      </c>
      <c r="G3161" t="s">
        <v>1038</v>
      </c>
      <c r="I3161" t="s">
        <v>1911</v>
      </c>
    </row>
    <row r="3162" spans="1:9" x14ac:dyDescent="0.3">
      <c r="A3162" t="s">
        <v>2569</v>
      </c>
      <c r="C3162" t="s">
        <v>2296</v>
      </c>
      <c r="G3162" t="s">
        <v>1039</v>
      </c>
    </row>
    <row r="3163" spans="1:9" x14ac:dyDescent="0.3">
      <c r="A3163" t="s">
        <v>2570</v>
      </c>
      <c r="C3163" t="s">
        <v>2297</v>
      </c>
      <c r="G3163" t="s">
        <v>1040</v>
      </c>
      <c r="I3163" t="s">
        <v>3266</v>
      </c>
    </row>
    <row r="3164" spans="1:9" x14ac:dyDescent="0.3">
      <c r="A3164" t="s">
        <v>2571</v>
      </c>
      <c r="C3164" t="s">
        <v>2298</v>
      </c>
      <c r="G3164" t="s">
        <v>1041</v>
      </c>
    </row>
    <row r="3165" spans="1:9" x14ac:dyDescent="0.3">
      <c r="A3165" t="s">
        <v>2572</v>
      </c>
      <c r="C3165" t="s">
        <v>2299</v>
      </c>
      <c r="G3165" t="s">
        <v>1042</v>
      </c>
      <c r="I3165" t="s">
        <v>2367</v>
      </c>
    </row>
    <row r="3166" spans="1:9" x14ac:dyDescent="0.3">
      <c r="A3166" t="s">
        <v>2573</v>
      </c>
      <c r="C3166" t="s">
        <v>2300</v>
      </c>
      <c r="G3166" t="s">
        <v>1043</v>
      </c>
      <c r="I3166" t="s">
        <v>2368</v>
      </c>
    </row>
    <row r="3167" spans="1:9" x14ac:dyDescent="0.3">
      <c r="A3167" t="s">
        <v>2574</v>
      </c>
      <c r="C3167" t="s">
        <v>2301</v>
      </c>
      <c r="G3167" t="s">
        <v>1044</v>
      </c>
      <c r="I3167" t="s">
        <v>2369</v>
      </c>
    </row>
    <row r="3168" spans="1:9" x14ac:dyDescent="0.3">
      <c r="A3168" t="s">
        <v>2575</v>
      </c>
      <c r="C3168" t="s">
        <v>2302</v>
      </c>
      <c r="G3168" t="s">
        <v>1047</v>
      </c>
      <c r="I3168" t="s">
        <v>2360</v>
      </c>
    </row>
    <row r="3169" spans="1:9" x14ac:dyDescent="0.3">
      <c r="A3169" t="s">
        <v>2576</v>
      </c>
      <c r="C3169" t="s">
        <v>2303</v>
      </c>
      <c r="G3169" t="s">
        <v>1048</v>
      </c>
      <c r="I3169" t="s">
        <v>2370</v>
      </c>
    </row>
    <row r="3170" spans="1:9" x14ac:dyDescent="0.3">
      <c r="A3170">
        <v>13</v>
      </c>
      <c r="C3170" t="s">
        <v>2304</v>
      </c>
      <c r="G3170" t="s">
        <v>3977</v>
      </c>
      <c r="I3170" t="s">
        <v>2371</v>
      </c>
    </row>
    <row r="3171" spans="1:9" x14ac:dyDescent="0.3">
      <c r="A3171" t="s">
        <v>89</v>
      </c>
      <c r="C3171" t="s">
        <v>2305</v>
      </c>
      <c r="I3171">
        <v>9</v>
      </c>
    </row>
    <row r="3172" spans="1:9" x14ac:dyDescent="0.3">
      <c r="A3172" t="s">
        <v>2577</v>
      </c>
      <c r="C3172" t="s">
        <v>2306</v>
      </c>
      <c r="I3172" t="s">
        <v>89</v>
      </c>
    </row>
    <row r="3173" spans="1:9" x14ac:dyDescent="0.3">
      <c r="A3173" t="s">
        <v>2578</v>
      </c>
      <c r="C3173" t="s">
        <v>2307</v>
      </c>
      <c r="G3173" t="s">
        <v>1557</v>
      </c>
      <c r="I3173" t="s">
        <v>2372</v>
      </c>
    </row>
    <row r="3174" spans="1:9" x14ac:dyDescent="0.3">
      <c r="A3174" t="s">
        <v>2579</v>
      </c>
      <c r="C3174" t="s">
        <v>2308</v>
      </c>
      <c r="G3174" t="s">
        <v>1503</v>
      </c>
      <c r="I3174" t="s">
        <v>2374</v>
      </c>
    </row>
    <row r="3175" spans="1:9" x14ac:dyDescent="0.3">
      <c r="A3175" t="s">
        <v>2580</v>
      </c>
      <c r="C3175" t="s">
        <v>2309</v>
      </c>
      <c r="I3175" t="s">
        <v>2375</v>
      </c>
    </row>
    <row r="3176" spans="1:9" x14ac:dyDescent="0.3">
      <c r="A3176" t="s">
        <v>2581</v>
      </c>
      <c r="C3176" t="s">
        <v>2310</v>
      </c>
      <c r="G3176" t="s">
        <v>3217</v>
      </c>
      <c r="I3176" t="s">
        <v>2376</v>
      </c>
    </row>
    <row r="3177" spans="1:9" x14ac:dyDescent="0.3">
      <c r="A3177" t="s">
        <v>2582</v>
      </c>
      <c r="C3177" t="s">
        <v>2311</v>
      </c>
      <c r="I3177" t="s">
        <v>2377</v>
      </c>
    </row>
    <row r="3178" spans="1:9" x14ac:dyDescent="0.3">
      <c r="A3178" t="s">
        <v>2583</v>
      </c>
      <c r="C3178" t="s">
        <v>2312</v>
      </c>
      <c r="G3178" t="s">
        <v>1042</v>
      </c>
      <c r="I3178" t="s">
        <v>2378</v>
      </c>
    </row>
    <row r="3179" spans="1:9" x14ac:dyDescent="0.3">
      <c r="A3179" t="s">
        <v>2584</v>
      </c>
      <c r="C3179" t="s">
        <v>2313</v>
      </c>
      <c r="G3179" t="s">
        <v>1043</v>
      </c>
      <c r="I3179" t="s">
        <v>2379</v>
      </c>
    </row>
    <row r="3180" spans="1:9" x14ac:dyDescent="0.3">
      <c r="A3180" t="s">
        <v>2585</v>
      </c>
      <c r="C3180" t="s">
        <v>2314</v>
      </c>
      <c r="G3180" t="s">
        <v>1044</v>
      </c>
      <c r="I3180" t="s">
        <v>2380</v>
      </c>
    </row>
    <row r="3181" spans="1:9" x14ac:dyDescent="0.3">
      <c r="A3181" t="s">
        <v>2586</v>
      </c>
      <c r="C3181" t="s">
        <v>3441</v>
      </c>
      <c r="G3181" t="s">
        <v>1047</v>
      </c>
      <c r="I3181" t="s">
        <v>2381</v>
      </c>
    </row>
    <row r="3182" spans="1:9" x14ac:dyDescent="0.3">
      <c r="A3182" t="s">
        <v>2587</v>
      </c>
      <c r="C3182" t="s">
        <v>3442</v>
      </c>
      <c r="G3182" t="s">
        <v>1048</v>
      </c>
      <c r="I3182" t="s">
        <v>2382</v>
      </c>
    </row>
    <row r="3183" spans="1:9" x14ac:dyDescent="0.3">
      <c r="A3183" t="s">
        <v>2588</v>
      </c>
      <c r="G3183" t="s">
        <v>1049</v>
      </c>
      <c r="I3183" t="s">
        <v>2383</v>
      </c>
    </row>
    <row r="3184" spans="1:9" x14ac:dyDescent="0.3">
      <c r="G3184" t="s">
        <v>1050</v>
      </c>
      <c r="I3184" t="s">
        <v>2384</v>
      </c>
    </row>
    <row r="3185" spans="1:9" x14ac:dyDescent="0.3">
      <c r="C3185" t="s">
        <v>1824</v>
      </c>
      <c r="G3185" t="s">
        <v>1051</v>
      </c>
      <c r="I3185" t="s">
        <v>2385</v>
      </c>
    </row>
    <row r="3186" spans="1:9" x14ac:dyDescent="0.3">
      <c r="A3186" t="s">
        <v>2589</v>
      </c>
      <c r="C3186" t="s">
        <v>1911</v>
      </c>
      <c r="G3186" t="s">
        <v>1052</v>
      </c>
      <c r="I3186" t="s">
        <v>2386</v>
      </c>
    </row>
    <row r="3187" spans="1:9" x14ac:dyDescent="0.3">
      <c r="A3187" t="s">
        <v>1911</v>
      </c>
      <c r="G3187" t="s">
        <v>1053</v>
      </c>
      <c r="I3187" t="s">
        <v>2387</v>
      </c>
    </row>
    <row r="3188" spans="1:9" x14ac:dyDescent="0.3">
      <c r="C3188" t="s">
        <v>3234</v>
      </c>
      <c r="G3188" t="s">
        <v>1054</v>
      </c>
      <c r="I3188" t="s">
        <v>2388</v>
      </c>
    </row>
    <row r="3189" spans="1:9" x14ac:dyDescent="0.3">
      <c r="A3189" t="s">
        <v>2581</v>
      </c>
      <c r="G3189" t="s">
        <v>1055</v>
      </c>
      <c r="I3189" t="s">
        <v>2389</v>
      </c>
    </row>
    <row r="3190" spans="1:9" x14ac:dyDescent="0.3">
      <c r="A3190" t="s">
        <v>2582</v>
      </c>
      <c r="C3190" t="s">
        <v>2308</v>
      </c>
      <c r="G3190" t="s">
        <v>1056</v>
      </c>
      <c r="I3190" t="s">
        <v>2390</v>
      </c>
    </row>
    <row r="3191" spans="1:9" x14ac:dyDescent="0.3">
      <c r="A3191" t="s">
        <v>2583</v>
      </c>
      <c r="C3191" t="s">
        <v>2309</v>
      </c>
      <c r="G3191" t="s">
        <v>1057</v>
      </c>
    </row>
    <row r="3192" spans="1:9" x14ac:dyDescent="0.3">
      <c r="A3192" t="s">
        <v>2584</v>
      </c>
      <c r="C3192" t="s">
        <v>2310</v>
      </c>
      <c r="G3192" t="s">
        <v>1058</v>
      </c>
    </row>
    <row r="3193" spans="1:9" x14ac:dyDescent="0.3">
      <c r="A3193" t="s">
        <v>2585</v>
      </c>
      <c r="C3193" t="s">
        <v>2311</v>
      </c>
      <c r="G3193" t="s">
        <v>1059</v>
      </c>
      <c r="I3193" t="s">
        <v>2391</v>
      </c>
    </row>
    <row r="3194" spans="1:9" x14ac:dyDescent="0.3">
      <c r="A3194" t="s">
        <v>2586</v>
      </c>
      <c r="C3194" t="s">
        <v>2312</v>
      </c>
      <c r="G3194" t="s">
        <v>1060</v>
      </c>
      <c r="I3194" t="s">
        <v>1911</v>
      </c>
    </row>
    <row r="3195" spans="1:9" x14ac:dyDescent="0.3">
      <c r="A3195" t="s">
        <v>2587</v>
      </c>
      <c r="C3195" t="s">
        <v>2313</v>
      </c>
      <c r="G3195" t="s">
        <v>1061</v>
      </c>
    </row>
    <row r="3196" spans="1:9" x14ac:dyDescent="0.3">
      <c r="A3196" t="s">
        <v>2590</v>
      </c>
      <c r="C3196" t="s">
        <v>2314</v>
      </c>
      <c r="G3196" t="s">
        <v>1062</v>
      </c>
      <c r="I3196" t="s">
        <v>3267</v>
      </c>
    </row>
    <row r="3197" spans="1:9" x14ac:dyDescent="0.3">
      <c r="A3197" t="s">
        <v>2591</v>
      </c>
      <c r="C3197" t="s">
        <v>3441</v>
      </c>
      <c r="G3197" t="s">
        <v>1063</v>
      </c>
    </row>
    <row r="3198" spans="1:9" x14ac:dyDescent="0.3">
      <c r="A3198" t="s">
        <v>2592</v>
      </c>
      <c r="C3198" t="s">
        <v>2317</v>
      </c>
      <c r="G3198" t="s">
        <v>1064</v>
      </c>
      <c r="I3198" t="s">
        <v>2392</v>
      </c>
    </row>
    <row r="3199" spans="1:9" x14ac:dyDescent="0.3">
      <c r="A3199" t="s">
        <v>2593</v>
      </c>
      <c r="C3199" t="s">
        <v>2318</v>
      </c>
      <c r="G3199" t="s">
        <v>1065</v>
      </c>
      <c r="I3199" t="s">
        <v>2393</v>
      </c>
    </row>
    <row r="3200" spans="1:9" x14ac:dyDescent="0.3">
      <c r="A3200" t="s">
        <v>2594</v>
      </c>
      <c r="C3200" t="s">
        <v>2319</v>
      </c>
      <c r="G3200" t="s">
        <v>1066</v>
      </c>
      <c r="I3200" t="s">
        <v>2394</v>
      </c>
    </row>
    <row r="3201" spans="1:9" x14ac:dyDescent="0.3">
      <c r="A3201" t="s">
        <v>2595</v>
      </c>
      <c r="C3201" t="s">
        <v>2320</v>
      </c>
      <c r="G3201" t="s">
        <v>1067</v>
      </c>
      <c r="I3201" t="s">
        <v>2395</v>
      </c>
    </row>
    <row r="3202" spans="1:9" x14ac:dyDescent="0.3">
      <c r="A3202" t="s">
        <v>2596</v>
      </c>
      <c r="C3202" t="s">
        <v>2321</v>
      </c>
      <c r="G3202" t="s">
        <v>1070</v>
      </c>
      <c r="I3202" t="s">
        <v>2396</v>
      </c>
    </row>
    <row r="3203" spans="1:9" x14ac:dyDescent="0.3">
      <c r="A3203" t="s">
        <v>2597</v>
      </c>
      <c r="C3203" t="s">
        <v>467</v>
      </c>
      <c r="G3203" t="s">
        <v>1071</v>
      </c>
      <c r="I3203" t="s">
        <v>2397</v>
      </c>
    </row>
    <row r="3204" spans="1:9" x14ac:dyDescent="0.3">
      <c r="A3204" t="s">
        <v>2598</v>
      </c>
      <c r="C3204">
        <v>8</v>
      </c>
      <c r="G3204" t="s">
        <v>1072</v>
      </c>
      <c r="I3204" t="s">
        <v>2398</v>
      </c>
    </row>
    <row r="3205" spans="1:9" x14ac:dyDescent="0.3">
      <c r="A3205" t="s">
        <v>2599</v>
      </c>
      <c r="C3205" t="s">
        <v>89</v>
      </c>
      <c r="G3205" t="s">
        <v>1073</v>
      </c>
      <c r="I3205" t="s">
        <v>2399</v>
      </c>
    </row>
    <row r="3206" spans="1:9" x14ac:dyDescent="0.3">
      <c r="A3206" t="s">
        <v>2600</v>
      </c>
      <c r="C3206" t="s">
        <v>2322</v>
      </c>
      <c r="G3206" t="s">
        <v>1074</v>
      </c>
      <c r="I3206" t="s">
        <v>2400</v>
      </c>
    </row>
    <row r="3207" spans="1:9" x14ac:dyDescent="0.3">
      <c r="A3207" t="s">
        <v>2601</v>
      </c>
      <c r="C3207" t="s">
        <v>2323</v>
      </c>
      <c r="G3207" t="s">
        <v>1075</v>
      </c>
      <c r="I3207" t="s">
        <v>2401</v>
      </c>
    </row>
    <row r="3208" spans="1:9" x14ac:dyDescent="0.3">
      <c r="A3208" t="s">
        <v>2602</v>
      </c>
      <c r="C3208" t="s">
        <v>2324</v>
      </c>
      <c r="G3208" t="s">
        <v>1076</v>
      </c>
      <c r="I3208" t="s">
        <v>2402</v>
      </c>
    </row>
    <row r="3209" spans="1:9" x14ac:dyDescent="0.3">
      <c r="A3209" t="s">
        <v>2603</v>
      </c>
      <c r="C3209" t="s">
        <v>2325</v>
      </c>
      <c r="G3209" t="s">
        <v>3978</v>
      </c>
      <c r="I3209" t="s">
        <v>2403</v>
      </c>
    </row>
    <row r="3210" spans="1:9" x14ac:dyDescent="0.3">
      <c r="A3210" t="s">
        <v>2604</v>
      </c>
      <c r="C3210" t="s">
        <v>2326</v>
      </c>
      <c r="I3210" t="s">
        <v>2404</v>
      </c>
    </row>
    <row r="3211" spans="1:9" x14ac:dyDescent="0.3">
      <c r="A3211" t="s">
        <v>2605</v>
      </c>
      <c r="C3211" t="s">
        <v>2327</v>
      </c>
      <c r="I3211" t="s">
        <v>2405</v>
      </c>
    </row>
    <row r="3212" spans="1:9" x14ac:dyDescent="0.3">
      <c r="C3212" t="s">
        <v>2328</v>
      </c>
      <c r="G3212" t="s">
        <v>1577</v>
      </c>
      <c r="I3212" t="s">
        <v>2406</v>
      </c>
    </row>
    <row r="3213" spans="1:9" x14ac:dyDescent="0.3">
      <c r="C3213" t="s">
        <v>2329</v>
      </c>
      <c r="G3213" t="s">
        <v>1503</v>
      </c>
      <c r="I3213" t="s">
        <v>2407</v>
      </c>
    </row>
    <row r="3214" spans="1:9" x14ac:dyDescent="0.3">
      <c r="A3214" t="s">
        <v>2606</v>
      </c>
      <c r="C3214" t="s">
        <v>2330</v>
      </c>
      <c r="I3214" t="s">
        <v>2408</v>
      </c>
    </row>
    <row r="3215" spans="1:9" x14ac:dyDescent="0.3">
      <c r="A3215" t="s">
        <v>1911</v>
      </c>
      <c r="C3215" t="s">
        <v>2331</v>
      </c>
      <c r="G3215" t="s">
        <v>3218</v>
      </c>
      <c r="I3215" t="s">
        <v>2409</v>
      </c>
    </row>
    <row r="3216" spans="1:9" x14ac:dyDescent="0.3">
      <c r="C3216" t="s">
        <v>3443</v>
      </c>
      <c r="I3216" t="s">
        <v>2410</v>
      </c>
    </row>
    <row r="3217" spans="1:9" x14ac:dyDescent="0.3">
      <c r="A3217" t="s">
        <v>2607</v>
      </c>
      <c r="C3217" t="s">
        <v>2334</v>
      </c>
      <c r="G3217" t="s">
        <v>1072</v>
      </c>
      <c r="I3217" t="s">
        <v>2411</v>
      </c>
    </row>
    <row r="3218" spans="1:9" x14ac:dyDescent="0.3">
      <c r="A3218" t="s">
        <v>2608</v>
      </c>
      <c r="C3218" t="s">
        <v>2335</v>
      </c>
      <c r="G3218" t="s">
        <v>1073</v>
      </c>
      <c r="I3218" t="s">
        <v>2412</v>
      </c>
    </row>
    <row r="3219" spans="1:9" x14ac:dyDescent="0.3">
      <c r="A3219" t="s">
        <v>2609</v>
      </c>
      <c r="C3219" t="s">
        <v>2336</v>
      </c>
      <c r="G3219" t="s">
        <v>1074</v>
      </c>
      <c r="I3219" t="s">
        <v>2413</v>
      </c>
    </row>
    <row r="3220" spans="1:9" x14ac:dyDescent="0.3">
      <c r="A3220" t="s">
        <v>2610</v>
      </c>
      <c r="C3220" t="s">
        <v>2337</v>
      </c>
      <c r="G3220" t="s">
        <v>1075</v>
      </c>
      <c r="I3220" t="s">
        <v>2414</v>
      </c>
    </row>
    <row r="3221" spans="1:9" x14ac:dyDescent="0.3">
      <c r="A3221" t="s">
        <v>2611</v>
      </c>
      <c r="C3221" t="s">
        <v>3444</v>
      </c>
      <c r="G3221" t="s">
        <v>1076</v>
      </c>
      <c r="I3221" t="s">
        <v>2415</v>
      </c>
    </row>
    <row r="3222" spans="1:9" x14ac:dyDescent="0.3">
      <c r="A3222" t="s">
        <v>2612</v>
      </c>
      <c r="C3222" t="s">
        <v>2340</v>
      </c>
      <c r="G3222" t="s">
        <v>1077</v>
      </c>
      <c r="I3222" t="s">
        <v>2416</v>
      </c>
    </row>
    <row r="3223" spans="1:9" x14ac:dyDescent="0.3">
      <c r="A3223" t="s">
        <v>2613</v>
      </c>
      <c r="C3223" t="s">
        <v>2341</v>
      </c>
      <c r="G3223" t="s">
        <v>1078</v>
      </c>
      <c r="I3223" t="s">
        <v>2417</v>
      </c>
    </row>
    <row r="3224" spans="1:9" x14ac:dyDescent="0.3">
      <c r="A3224" t="s">
        <v>2614</v>
      </c>
      <c r="C3224" t="s">
        <v>2342</v>
      </c>
      <c r="G3224" t="s">
        <v>1079</v>
      </c>
      <c r="I3224" t="s">
        <v>2418</v>
      </c>
    </row>
    <row r="3225" spans="1:9" x14ac:dyDescent="0.3">
      <c r="C3225" t="s">
        <v>2343</v>
      </c>
      <c r="G3225" t="s">
        <v>1080</v>
      </c>
      <c r="I3225" t="s">
        <v>2419</v>
      </c>
    </row>
    <row r="3226" spans="1:9" x14ac:dyDescent="0.3">
      <c r="C3226" t="s">
        <v>2344</v>
      </c>
      <c r="G3226" t="s">
        <v>1081</v>
      </c>
      <c r="I3226" t="s">
        <v>2420</v>
      </c>
    </row>
    <row r="3227" spans="1:9" x14ac:dyDescent="0.3">
      <c r="A3227" t="s">
        <v>2615</v>
      </c>
      <c r="C3227" t="s">
        <v>2345</v>
      </c>
      <c r="G3227" t="s">
        <v>1082</v>
      </c>
    </row>
    <row r="3228" spans="1:9" x14ac:dyDescent="0.3">
      <c r="A3228" t="s">
        <v>1911</v>
      </c>
      <c r="C3228" t="s">
        <v>2346</v>
      </c>
      <c r="G3228" t="s">
        <v>1083</v>
      </c>
    </row>
    <row r="3229" spans="1:9" x14ac:dyDescent="0.3">
      <c r="G3229" t="s">
        <v>1084</v>
      </c>
      <c r="I3229" t="s">
        <v>2421</v>
      </c>
    </row>
    <row r="3230" spans="1:9" x14ac:dyDescent="0.3">
      <c r="A3230" t="s">
        <v>2616</v>
      </c>
      <c r="G3230" t="s">
        <v>1085</v>
      </c>
      <c r="I3230" t="s">
        <v>1911</v>
      </c>
    </row>
    <row r="3231" spans="1:9" x14ac:dyDescent="0.3">
      <c r="A3231" t="s">
        <v>2617</v>
      </c>
      <c r="C3231" t="s">
        <v>1841</v>
      </c>
      <c r="G3231" t="s">
        <v>1086</v>
      </c>
    </row>
    <row r="3232" spans="1:9" x14ac:dyDescent="0.3">
      <c r="A3232" t="s">
        <v>2618</v>
      </c>
      <c r="C3232" t="s">
        <v>1911</v>
      </c>
      <c r="G3232" t="s">
        <v>1087</v>
      </c>
      <c r="I3232" t="s">
        <v>3268</v>
      </c>
    </row>
    <row r="3233" spans="1:9" x14ac:dyDescent="0.3">
      <c r="A3233" t="s">
        <v>2619</v>
      </c>
      <c r="G3233" t="s">
        <v>1088</v>
      </c>
    </row>
    <row r="3234" spans="1:9" x14ac:dyDescent="0.3">
      <c r="A3234" t="s">
        <v>2620</v>
      </c>
      <c r="C3234" t="s">
        <v>3235</v>
      </c>
      <c r="G3234" t="s">
        <v>1089</v>
      </c>
      <c r="I3234" t="s">
        <v>2422</v>
      </c>
    </row>
    <row r="3235" spans="1:9" x14ac:dyDescent="0.3">
      <c r="A3235" t="s">
        <v>2621</v>
      </c>
      <c r="G3235" t="s">
        <v>1090</v>
      </c>
      <c r="I3235" t="s">
        <v>2423</v>
      </c>
    </row>
    <row r="3236" spans="1:9" x14ac:dyDescent="0.3">
      <c r="A3236" t="s">
        <v>2622</v>
      </c>
      <c r="C3236" t="s">
        <v>2337</v>
      </c>
      <c r="G3236" t="s">
        <v>1091</v>
      </c>
      <c r="I3236" t="s">
        <v>2424</v>
      </c>
    </row>
    <row r="3237" spans="1:9" x14ac:dyDescent="0.3">
      <c r="A3237" t="e">
        <f>- a ciascuno degli amministratori disgiuntamente in caso di</f>
        <v>#NAME?</v>
      </c>
      <c r="C3237" t="s">
        <v>3444</v>
      </c>
      <c r="G3237" t="s">
        <v>1094</v>
      </c>
      <c r="I3237">
        <v>10</v>
      </c>
    </row>
    <row r="3238" spans="1:9" x14ac:dyDescent="0.3">
      <c r="A3238" t="s">
        <v>2623</v>
      </c>
      <c r="C3238" t="s">
        <v>2340</v>
      </c>
      <c r="G3238" t="s">
        <v>89</v>
      </c>
      <c r="I3238" t="s">
        <v>89</v>
      </c>
    </row>
    <row r="3239" spans="1:9" x14ac:dyDescent="0.3">
      <c r="A3239" t="s">
        <v>2624</v>
      </c>
      <c r="C3239" t="s">
        <v>2341</v>
      </c>
      <c r="G3239" t="s">
        <v>1095</v>
      </c>
      <c r="I3239" t="s">
        <v>2425</v>
      </c>
    </row>
    <row r="3240" spans="1:9" x14ac:dyDescent="0.3">
      <c r="A3240" t="s">
        <v>2625</v>
      </c>
      <c r="C3240" t="s">
        <v>2342</v>
      </c>
      <c r="G3240" t="s">
        <v>1096</v>
      </c>
      <c r="I3240" t="s">
        <v>2426</v>
      </c>
    </row>
    <row r="3241" spans="1:9" x14ac:dyDescent="0.3">
      <c r="A3241" t="s">
        <v>2626</v>
      </c>
      <c r="C3241" t="s">
        <v>2343</v>
      </c>
      <c r="G3241" t="s">
        <v>1097</v>
      </c>
      <c r="I3241" t="s">
        <v>2427</v>
      </c>
    </row>
    <row r="3242" spans="1:9" x14ac:dyDescent="0.3">
      <c r="A3242" t="s">
        <v>2627</v>
      </c>
      <c r="C3242" t="s">
        <v>2344</v>
      </c>
      <c r="G3242" t="s">
        <v>1098</v>
      </c>
      <c r="I3242" t="s">
        <v>2428</v>
      </c>
    </row>
    <row r="3243" spans="1:9" x14ac:dyDescent="0.3">
      <c r="C3243" t="s">
        <v>2345</v>
      </c>
      <c r="G3243" t="s">
        <v>1099</v>
      </c>
      <c r="I3243" t="s">
        <v>2429</v>
      </c>
    </row>
    <row r="3244" spans="1:9" x14ac:dyDescent="0.3">
      <c r="C3244" t="s">
        <v>2346</v>
      </c>
      <c r="G3244" t="s">
        <v>1100</v>
      </c>
      <c r="I3244" t="s">
        <v>2430</v>
      </c>
    </row>
    <row r="3245" spans="1:9" x14ac:dyDescent="0.3">
      <c r="A3245" t="s">
        <v>2628</v>
      </c>
      <c r="C3245" t="s">
        <v>2347</v>
      </c>
      <c r="G3245" t="s">
        <v>1101</v>
      </c>
      <c r="I3245" t="s">
        <v>2431</v>
      </c>
    </row>
    <row r="3246" spans="1:9" x14ac:dyDescent="0.3">
      <c r="A3246" t="s">
        <v>1911</v>
      </c>
      <c r="C3246" t="s">
        <v>2348</v>
      </c>
      <c r="G3246" t="s">
        <v>1102</v>
      </c>
      <c r="I3246" t="s">
        <v>2432</v>
      </c>
    </row>
    <row r="3247" spans="1:9" x14ac:dyDescent="0.3">
      <c r="C3247" t="s">
        <v>2349</v>
      </c>
      <c r="G3247" t="s">
        <v>3979</v>
      </c>
      <c r="I3247" t="s">
        <v>2433</v>
      </c>
    </row>
    <row r="3248" spans="1:9" x14ac:dyDescent="0.3">
      <c r="A3248" t="s">
        <v>2629</v>
      </c>
      <c r="C3248" t="s">
        <v>2350</v>
      </c>
      <c r="I3248" t="s">
        <v>2434</v>
      </c>
    </row>
    <row r="3249" spans="1:9" x14ac:dyDescent="0.3">
      <c r="A3249" t="s">
        <v>2630</v>
      </c>
      <c r="C3249" t="s">
        <v>2351</v>
      </c>
      <c r="I3249" t="s">
        <v>2435</v>
      </c>
    </row>
    <row r="3250" spans="1:9" x14ac:dyDescent="0.3">
      <c r="A3250">
        <v>14</v>
      </c>
      <c r="C3250" t="s">
        <v>2352</v>
      </c>
      <c r="G3250" t="s">
        <v>1593</v>
      </c>
      <c r="I3250" t="s">
        <v>2436</v>
      </c>
    </row>
    <row r="3251" spans="1:9" x14ac:dyDescent="0.3">
      <c r="A3251" t="s">
        <v>89</v>
      </c>
      <c r="C3251" t="s">
        <v>2353</v>
      </c>
      <c r="G3251" t="s">
        <v>1503</v>
      </c>
      <c r="I3251" t="s">
        <v>2437</v>
      </c>
    </row>
    <row r="3252" spans="1:9" x14ac:dyDescent="0.3">
      <c r="A3252" t="s">
        <v>2631</v>
      </c>
      <c r="C3252" t="s">
        <v>2354</v>
      </c>
    </row>
    <row r="3253" spans="1:9" x14ac:dyDescent="0.3">
      <c r="A3253" t="s">
        <v>2632</v>
      </c>
      <c r="C3253" t="s">
        <v>2355</v>
      </c>
      <c r="G3253" t="s">
        <v>3219</v>
      </c>
    </row>
    <row r="3254" spans="1:9" x14ac:dyDescent="0.3">
      <c r="A3254" t="s">
        <v>2633</v>
      </c>
      <c r="C3254" t="s">
        <v>2356</v>
      </c>
      <c r="I3254" t="s">
        <v>2438</v>
      </c>
    </row>
    <row r="3255" spans="1:9" x14ac:dyDescent="0.3">
      <c r="A3255" t="s">
        <v>2634</v>
      </c>
      <c r="C3255" t="s">
        <v>2357</v>
      </c>
      <c r="G3255" t="s">
        <v>1099</v>
      </c>
      <c r="I3255" t="s">
        <v>1911</v>
      </c>
    </row>
    <row r="3256" spans="1:9" x14ac:dyDescent="0.3">
      <c r="A3256" t="s">
        <v>2635</v>
      </c>
      <c r="C3256" t="s">
        <v>2358</v>
      </c>
      <c r="G3256" t="s">
        <v>1100</v>
      </c>
    </row>
    <row r="3257" spans="1:9" x14ac:dyDescent="0.3">
      <c r="A3257" t="s">
        <v>2636</v>
      </c>
      <c r="C3257" t="s">
        <v>2359</v>
      </c>
      <c r="G3257" t="s">
        <v>1101</v>
      </c>
      <c r="I3257" t="s">
        <v>3269</v>
      </c>
    </row>
    <row r="3258" spans="1:9" x14ac:dyDescent="0.3">
      <c r="A3258" t="s">
        <v>2637</v>
      </c>
      <c r="C3258" t="s">
        <v>2360</v>
      </c>
      <c r="G3258" t="s">
        <v>1102</v>
      </c>
    </row>
    <row r="3259" spans="1:9" x14ac:dyDescent="0.3">
      <c r="A3259" t="s">
        <v>2638</v>
      </c>
      <c r="C3259" t="s">
        <v>2361</v>
      </c>
      <c r="G3259" t="s">
        <v>1103</v>
      </c>
      <c r="I3259" t="s">
        <v>2439</v>
      </c>
    </row>
    <row r="3260" spans="1:9" x14ac:dyDescent="0.3">
      <c r="A3260" t="s">
        <v>2639</v>
      </c>
      <c r="C3260" t="s">
        <v>2362</v>
      </c>
      <c r="G3260" t="s">
        <v>1104</v>
      </c>
      <c r="I3260" t="s">
        <v>2440</v>
      </c>
    </row>
    <row r="3261" spans="1:9" x14ac:dyDescent="0.3">
      <c r="A3261" t="s">
        <v>2640</v>
      </c>
      <c r="C3261" t="s">
        <v>657</v>
      </c>
      <c r="G3261" t="s">
        <v>1105</v>
      </c>
      <c r="I3261" t="s">
        <v>2441</v>
      </c>
    </row>
    <row r="3262" spans="1:9" x14ac:dyDescent="0.3">
      <c r="A3262" t="s">
        <v>2641</v>
      </c>
      <c r="C3262" t="s">
        <v>2363</v>
      </c>
      <c r="G3262" t="s">
        <v>1106</v>
      </c>
      <c r="I3262" t="s">
        <v>2442</v>
      </c>
    </row>
    <row r="3263" spans="1:9" x14ac:dyDescent="0.3">
      <c r="C3263" t="s">
        <v>2364</v>
      </c>
      <c r="G3263" t="s">
        <v>1107</v>
      </c>
      <c r="I3263" t="s">
        <v>2443</v>
      </c>
    </row>
    <row r="3264" spans="1:9" x14ac:dyDescent="0.3">
      <c r="C3264" t="s">
        <v>2365</v>
      </c>
      <c r="G3264" t="s">
        <v>1108</v>
      </c>
      <c r="I3264" t="s">
        <v>2444</v>
      </c>
    </row>
    <row r="3265" spans="1:9" x14ac:dyDescent="0.3">
      <c r="A3265" t="s">
        <v>2642</v>
      </c>
      <c r="C3265" t="s">
        <v>2366</v>
      </c>
      <c r="G3265" t="s">
        <v>1109</v>
      </c>
      <c r="I3265" t="s">
        <v>2445</v>
      </c>
    </row>
    <row r="3266" spans="1:9" x14ac:dyDescent="0.3">
      <c r="A3266" t="s">
        <v>1911</v>
      </c>
      <c r="C3266" t="s">
        <v>2367</v>
      </c>
      <c r="G3266" t="s">
        <v>1110</v>
      </c>
      <c r="I3266" t="s">
        <v>2446</v>
      </c>
    </row>
    <row r="3267" spans="1:9" x14ac:dyDescent="0.3">
      <c r="C3267" t="s">
        <v>2368</v>
      </c>
      <c r="G3267" t="s">
        <v>1111</v>
      </c>
      <c r="I3267" t="s">
        <v>2447</v>
      </c>
    </row>
    <row r="3268" spans="1:9" x14ac:dyDescent="0.3">
      <c r="A3268" t="s">
        <v>2643</v>
      </c>
      <c r="C3268" t="s">
        <v>2369</v>
      </c>
      <c r="G3268" t="s">
        <v>1112</v>
      </c>
      <c r="I3268" t="s">
        <v>647</v>
      </c>
    </row>
    <row r="3269" spans="1:9" x14ac:dyDescent="0.3">
      <c r="A3269" t="s">
        <v>2644</v>
      </c>
      <c r="C3269" t="s">
        <v>2360</v>
      </c>
      <c r="G3269" t="s">
        <v>1115</v>
      </c>
      <c r="I3269" t="s">
        <v>2448</v>
      </c>
    </row>
    <row r="3270" spans="1:9" x14ac:dyDescent="0.3">
      <c r="A3270" t="s">
        <v>2645</v>
      </c>
      <c r="C3270" t="s">
        <v>2370</v>
      </c>
      <c r="G3270" t="s">
        <v>1116</v>
      </c>
      <c r="I3270" t="s">
        <v>2449</v>
      </c>
    </row>
    <row r="3271" spans="1:9" x14ac:dyDescent="0.3">
      <c r="A3271" t="s">
        <v>2646</v>
      </c>
      <c r="C3271" t="s">
        <v>2371</v>
      </c>
      <c r="G3271" t="s">
        <v>1117</v>
      </c>
    </row>
    <row r="3272" spans="1:9" x14ac:dyDescent="0.3">
      <c r="A3272" t="s">
        <v>2647</v>
      </c>
      <c r="C3272">
        <v>9</v>
      </c>
      <c r="G3272" t="s">
        <v>1118</v>
      </c>
    </row>
    <row r="3273" spans="1:9" x14ac:dyDescent="0.3">
      <c r="G3273" t="s">
        <v>1119</v>
      </c>
      <c r="I3273" t="s">
        <v>2450</v>
      </c>
    </row>
    <row r="3274" spans="1:9" x14ac:dyDescent="0.3">
      <c r="G3274" t="s">
        <v>1120</v>
      </c>
      <c r="I3274" t="s">
        <v>1911</v>
      </c>
    </row>
    <row r="3275" spans="1:9" x14ac:dyDescent="0.3">
      <c r="A3275" t="s">
        <v>2648</v>
      </c>
      <c r="C3275" t="s">
        <v>1860</v>
      </c>
      <c r="G3275" t="s">
        <v>1121</v>
      </c>
    </row>
    <row r="3276" spans="1:9" x14ac:dyDescent="0.3">
      <c r="A3276" t="s">
        <v>1911</v>
      </c>
      <c r="C3276" t="s">
        <v>1911</v>
      </c>
      <c r="G3276" t="s">
        <v>1122</v>
      </c>
      <c r="I3276" t="s">
        <v>3270</v>
      </c>
    </row>
    <row r="3277" spans="1:9" x14ac:dyDescent="0.3">
      <c r="G3277" t="s">
        <v>1123</v>
      </c>
    </row>
    <row r="3278" spans="1:9" x14ac:dyDescent="0.3">
      <c r="A3278" t="s">
        <v>2649</v>
      </c>
      <c r="C3278" t="s">
        <v>3236</v>
      </c>
      <c r="G3278" t="s">
        <v>1124</v>
      </c>
      <c r="I3278" t="s">
        <v>2451</v>
      </c>
    </row>
    <row r="3279" spans="1:9" x14ac:dyDescent="0.3">
      <c r="A3279" t="s">
        <v>2650</v>
      </c>
      <c r="G3279" t="s">
        <v>1125</v>
      </c>
      <c r="I3279" t="s">
        <v>2452</v>
      </c>
    </row>
    <row r="3280" spans="1:9" x14ac:dyDescent="0.3">
      <c r="A3280" t="s">
        <v>2651</v>
      </c>
      <c r="C3280" t="s">
        <v>2365</v>
      </c>
      <c r="G3280" t="s">
        <v>1126</v>
      </c>
      <c r="I3280" t="s">
        <v>2453</v>
      </c>
    </row>
    <row r="3281" spans="1:9" x14ac:dyDescent="0.3">
      <c r="A3281" t="s">
        <v>2652</v>
      </c>
      <c r="C3281" t="s">
        <v>2366</v>
      </c>
      <c r="G3281" t="s">
        <v>1127</v>
      </c>
      <c r="I3281" t="s">
        <v>2454</v>
      </c>
    </row>
    <row r="3282" spans="1:9" x14ac:dyDescent="0.3">
      <c r="A3282" t="s">
        <v>2653</v>
      </c>
      <c r="C3282" t="s">
        <v>2367</v>
      </c>
      <c r="G3282" t="s">
        <v>1128</v>
      </c>
      <c r="I3282" t="s">
        <v>2455</v>
      </c>
    </row>
    <row r="3283" spans="1:9" x14ac:dyDescent="0.3">
      <c r="A3283" t="s">
        <v>2654</v>
      </c>
      <c r="C3283" t="s">
        <v>2368</v>
      </c>
      <c r="G3283" t="s">
        <v>3980</v>
      </c>
      <c r="I3283" t="s">
        <v>2456</v>
      </c>
    </row>
    <row r="3284" spans="1:9" x14ac:dyDescent="0.3">
      <c r="A3284" t="s">
        <v>2655</v>
      </c>
      <c r="C3284" t="s">
        <v>2369</v>
      </c>
      <c r="I3284" t="s">
        <v>2457</v>
      </c>
    </row>
    <row r="3285" spans="1:9" x14ac:dyDescent="0.3">
      <c r="A3285" t="s">
        <v>2656</v>
      </c>
      <c r="C3285" t="s">
        <v>2360</v>
      </c>
      <c r="I3285" t="s">
        <v>2458</v>
      </c>
    </row>
    <row r="3286" spans="1:9" x14ac:dyDescent="0.3">
      <c r="A3286" t="s">
        <v>2657</v>
      </c>
      <c r="C3286" t="s">
        <v>2370</v>
      </c>
      <c r="G3286" t="s">
        <v>1606</v>
      </c>
      <c r="I3286" t="s">
        <v>2459</v>
      </c>
    </row>
    <row r="3287" spans="1:9" x14ac:dyDescent="0.3">
      <c r="A3287" t="s">
        <v>2658</v>
      </c>
      <c r="C3287" t="s">
        <v>2371</v>
      </c>
      <c r="G3287" t="s">
        <v>1503</v>
      </c>
      <c r="I3287" t="s">
        <v>2460</v>
      </c>
    </row>
    <row r="3288" spans="1:9" x14ac:dyDescent="0.3">
      <c r="A3288" t="s">
        <v>2659</v>
      </c>
      <c r="C3288">
        <v>9</v>
      </c>
      <c r="I3288" t="s">
        <v>2461</v>
      </c>
    </row>
    <row r="3289" spans="1:9" x14ac:dyDescent="0.3">
      <c r="A3289" t="s">
        <v>2660</v>
      </c>
      <c r="C3289" t="s">
        <v>89</v>
      </c>
      <c r="G3289" t="s">
        <v>3220</v>
      </c>
      <c r="I3289" t="s">
        <v>2462</v>
      </c>
    </row>
    <row r="3290" spans="1:9" x14ac:dyDescent="0.3">
      <c r="A3290" t="s">
        <v>2661</v>
      </c>
      <c r="C3290" t="s">
        <v>2372</v>
      </c>
      <c r="I3290" t="s">
        <v>2463</v>
      </c>
    </row>
    <row r="3291" spans="1:9" x14ac:dyDescent="0.3">
      <c r="A3291" t="s">
        <v>2662</v>
      </c>
      <c r="C3291" t="s">
        <v>2374</v>
      </c>
      <c r="G3291" t="s">
        <v>1125</v>
      </c>
      <c r="I3291" t="s">
        <v>2464</v>
      </c>
    </row>
    <row r="3292" spans="1:9" x14ac:dyDescent="0.3">
      <c r="A3292" t="s">
        <v>2663</v>
      </c>
      <c r="C3292" t="s">
        <v>2375</v>
      </c>
      <c r="G3292" t="s">
        <v>1126</v>
      </c>
      <c r="I3292" t="s">
        <v>2465</v>
      </c>
    </row>
    <row r="3293" spans="1:9" x14ac:dyDescent="0.3">
      <c r="A3293" t="s">
        <v>2664</v>
      </c>
      <c r="C3293" t="s">
        <v>2376</v>
      </c>
      <c r="G3293" t="s">
        <v>1127</v>
      </c>
      <c r="I3293" t="s">
        <v>2466</v>
      </c>
    </row>
    <row r="3294" spans="1:9" x14ac:dyDescent="0.3">
      <c r="A3294" t="s">
        <v>2665</v>
      </c>
      <c r="C3294" t="s">
        <v>2377</v>
      </c>
      <c r="G3294" t="s">
        <v>1128</v>
      </c>
      <c r="I3294" t="s">
        <v>2467</v>
      </c>
    </row>
    <row r="3295" spans="1:9" x14ac:dyDescent="0.3">
      <c r="A3295" t="s">
        <v>2666</v>
      </c>
      <c r="C3295" t="s">
        <v>2378</v>
      </c>
      <c r="G3295" t="s">
        <v>1129</v>
      </c>
      <c r="I3295" t="s">
        <v>2468</v>
      </c>
    </row>
    <row r="3296" spans="1:9" x14ac:dyDescent="0.3">
      <c r="A3296" t="s">
        <v>2667</v>
      </c>
      <c r="C3296" t="s">
        <v>2379</v>
      </c>
      <c r="G3296" t="s">
        <v>1130</v>
      </c>
      <c r="I3296" t="s">
        <v>2469</v>
      </c>
    </row>
    <row r="3297" spans="1:9" x14ac:dyDescent="0.3">
      <c r="A3297" t="s">
        <v>2668</v>
      </c>
      <c r="C3297" t="s">
        <v>2380</v>
      </c>
      <c r="G3297" t="s">
        <v>1131</v>
      </c>
      <c r="I3297" t="s">
        <v>2470</v>
      </c>
    </row>
    <row r="3298" spans="1:9" x14ac:dyDescent="0.3">
      <c r="A3298" t="s">
        <v>2669</v>
      </c>
      <c r="C3298" t="s">
        <v>2381</v>
      </c>
      <c r="G3298" t="s">
        <v>1132</v>
      </c>
      <c r="I3298" t="s">
        <v>2471</v>
      </c>
    </row>
    <row r="3299" spans="1:9" x14ac:dyDescent="0.3">
      <c r="A3299" t="s">
        <v>2670</v>
      </c>
      <c r="C3299" t="s">
        <v>2382</v>
      </c>
      <c r="G3299" t="s">
        <v>1133</v>
      </c>
      <c r="I3299" t="s">
        <v>2472</v>
      </c>
    </row>
    <row r="3300" spans="1:9" x14ac:dyDescent="0.3">
      <c r="A3300" t="s">
        <v>2671</v>
      </c>
      <c r="C3300" t="s">
        <v>2383</v>
      </c>
      <c r="G3300" t="s">
        <v>1134</v>
      </c>
      <c r="I3300" t="s">
        <v>2473</v>
      </c>
    </row>
    <row r="3301" spans="1:9" x14ac:dyDescent="0.3">
      <c r="A3301" t="s">
        <v>2672</v>
      </c>
      <c r="C3301" t="s">
        <v>2384</v>
      </c>
      <c r="G3301" t="s">
        <v>1135</v>
      </c>
      <c r="I3301" t="s">
        <v>2474</v>
      </c>
    </row>
    <row r="3302" spans="1:9" x14ac:dyDescent="0.3">
      <c r="A3302" t="s">
        <v>2673</v>
      </c>
      <c r="C3302" t="s">
        <v>2385</v>
      </c>
      <c r="G3302" t="s">
        <v>1138</v>
      </c>
      <c r="I3302" t="s">
        <v>2475</v>
      </c>
    </row>
    <row r="3303" spans="1:9" x14ac:dyDescent="0.3">
      <c r="C3303" t="s">
        <v>2386</v>
      </c>
      <c r="G3303" t="s">
        <v>1139</v>
      </c>
      <c r="I3303">
        <v>11</v>
      </c>
    </row>
    <row r="3304" spans="1:9" x14ac:dyDescent="0.3">
      <c r="C3304" t="s">
        <v>2387</v>
      </c>
      <c r="G3304" t="s">
        <v>1140</v>
      </c>
      <c r="I3304" t="s">
        <v>89</v>
      </c>
    </row>
    <row r="3305" spans="1:9" x14ac:dyDescent="0.3">
      <c r="A3305" t="s">
        <v>2674</v>
      </c>
      <c r="C3305" t="s">
        <v>2388</v>
      </c>
      <c r="G3305" t="s">
        <v>1141</v>
      </c>
      <c r="I3305" t="s">
        <v>2476</v>
      </c>
    </row>
    <row r="3306" spans="1:9" x14ac:dyDescent="0.3">
      <c r="A3306" t="s">
        <v>1911</v>
      </c>
      <c r="C3306" t="s">
        <v>2389</v>
      </c>
      <c r="G3306" t="s">
        <v>1142</v>
      </c>
      <c r="I3306" t="s">
        <v>2477</v>
      </c>
    </row>
    <row r="3307" spans="1:9" x14ac:dyDescent="0.3">
      <c r="C3307" t="s">
        <v>3445</v>
      </c>
      <c r="G3307" t="s">
        <v>1143</v>
      </c>
      <c r="I3307" t="s">
        <v>2478</v>
      </c>
    </row>
    <row r="3308" spans="1:9" x14ac:dyDescent="0.3">
      <c r="A3308" t="s">
        <v>2675</v>
      </c>
      <c r="C3308" t="s">
        <v>2392</v>
      </c>
      <c r="G3308" t="s">
        <v>1144</v>
      </c>
      <c r="I3308" t="s">
        <v>2479</v>
      </c>
    </row>
    <row r="3309" spans="1:9" x14ac:dyDescent="0.3">
      <c r="A3309" t="s">
        <v>2676</v>
      </c>
      <c r="C3309" t="s">
        <v>2393</v>
      </c>
      <c r="G3309" t="s">
        <v>1145</v>
      </c>
      <c r="I3309" t="s">
        <v>2480</v>
      </c>
    </row>
    <row r="3310" spans="1:9" x14ac:dyDescent="0.3">
      <c r="A3310" t="s">
        <v>2677</v>
      </c>
      <c r="C3310" t="s">
        <v>2394</v>
      </c>
      <c r="G3310" t="s">
        <v>1146</v>
      </c>
      <c r="I3310" t="s">
        <v>2481</v>
      </c>
    </row>
    <row r="3311" spans="1:9" x14ac:dyDescent="0.3">
      <c r="A3311" t="s">
        <v>2678</v>
      </c>
      <c r="C3311" t="s">
        <v>2395</v>
      </c>
      <c r="G3311" t="s">
        <v>1147</v>
      </c>
      <c r="I3311" t="s">
        <v>2482</v>
      </c>
    </row>
    <row r="3312" spans="1:9" x14ac:dyDescent="0.3">
      <c r="C3312" t="s">
        <v>2396</v>
      </c>
      <c r="G3312" t="s">
        <v>1148</v>
      </c>
      <c r="I3312" t="s">
        <v>2483</v>
      </c>
    </row>
    <row r="3313" spans="1:9" x14ac:dyDescent="0.3">
      <c r="C3313" t="s">
        <v>2397</v>
      </c>
      <c r="G3313" t="s">
        <v>1149</v>
      </c>
      <c r="I3313" t="s">
        <v>2484</v>
      </c>
    </row>
    <row r="3314" spans="1:9" x14ac:dyDescent="0.3">
      <c r="A3314" t="s">
        <v>2679</v>
      </c>
      <c r="C3314" t="s">
        <v>2398</v>
      </c>
      <c r="G3314" t="s">
        <v>1150</v>
      </c>
      <c r="I3314" t="s">
        <v>2485</v>
      </c>
    </row>
    <row r="3315" spans="1:9" x14ac:dyDescent="0.3">
      <c r="A3315" t="s">
        <v>1911</v>
      </c>
      <c r="G3315" t="s">
        <v>1151</v>
      </c>
      <c r="I3315" t="s">
        <v>2486</v>
      </c>
    </row>
    <row r="3316" spans="1:9" x14ac:dyDescent="0.3">
      <c r="G3316" t="s">
        <v>1152</v>
      </c>
      <c r="I3316" t="s">
        <v>2487</v>
      </c>
    </row>
    <row r="3317" spans="1:9" x14ac:dyDescent="0.3">
      <c r="A3317" t="s">
        <v>2680</v>
      </c>
      <c r="C3317" t="s">
        <v>1865</v>
      </c>
      <c r="G3317" t="s">
        <v>1153</v>
      </c>
      <c r="I3317" t="s">
        <v>2488</v>
      </c>
    </row>
    <row r="3318" spans="1:9" x14ac:dyDescent="0.3">
      <c r="A3318" t="s">
        <v>2681</v>
      </c>
      <c r="C3318" t="s">
        <v>1911</v>
      </c>
      <c r="G3318" t="s">
        <v>89</v>
      </c>
      <c r="I3318" t="s">
        <v>2489</v>
      </c>
    </row>
    <row r="3319" spans="1:9" x14ac:dyDescent="0.3">
      <c r="A3319" t="s">
        <v>2682</v>
      </c>
      <c r="G3319" t="s">
        <v>3981</v>
      </c>
    </row>
    <row r="3320" spans="1:9" x14ac:dyDescent="0.3">
      <c r="A3320" t="s">
        <v>2683</v>
      </c>
      <c r="C3320" t="s">
        <v>3237</v>
      </c>
    </row>
    <row r="3321" spans="1:9" x14ac:dyDescent="0.3">
      <c r="I3321" t="s">
        <v>2490</v>
      </c>
    </row>
    <row r="3322" spans="1:9" x14ac:dyDescent="0.3">
      <c r="C3322" t="s">
        <v>3445</v>
      </c>
      <c r="G3322" t="s">
        <v>1610</v>
      </c>
      <c r="I3322" t="s">
        <v>1911</v>
      </c>
    </row>
    <row r="3323" spans="1:9" x14ac:dyDescent="0.3">
      <c r="A3323" t="s">
        <v>2684</v>
      </c>
      <c r="C3323" t="s">
        <v>2392</v>
      </c>
      <c r="G3323" t="s">
        <v>1503</v>
      </c>
    </row>
    <row r="3324" spans="1:9" x14ac:dyDescent="0.3">
      <c r="A3324" t="s">
        <v>1911</v>
      </c>
      <c r="C3324" t="s">
        <v>2393</v>
      </c>
      <c r="I3324" t="s">
        <v>3271</v>
      </c>
    </row>
    <row r="3325" spans="1:9" x14ac:dyDescent="0.3">
      <c r="C3325" t="s">
        <v>2394</v>
      </c>
      <c r="G3325" t="s">
        <v>3221</v>
      </c>
    </row>
    <row r="3326" spans="1:9" x14ac:dyDescent="0.3">
      <c r="A3326" t="s">
        <v>2685</v>
      </c>
      <c r="C3326" t="s">
        <v>2395</v>
      </c>
      <c r="I3326" t="s">
        <v>2491</v>
      </c>
    </row>
    <row r="3327" spans="1:9" x14ac:dyDescent="0.3">
      <c r="A3327">
        <v>15</v>
      </c>
      <c r="C3327" t="s">
        <v>2396</v>
      </c>
      <c r="G3327" t="s">
        <v>1150</v>
      </c>
      <c r="I3327" t="s">
        <v>2492</v>
      </c>
    </row>
    <row r="3328" spans="1:9" x14ac:dyDescent="0.3">
      <c r="A3328" t="s">
        <v>89</v>
      </c>
      <c r="C3328" t="s">
        <v>2397</v>
      </c>
      <c r="G3328" t="s">
        <v>1151</v>
      </c>
      <c r="I3328" t="s">
        <v>2493</v>
      </c>
    </row>
    <row r="3329" spans="1:9" x14ac:dyDescent="0.3">
      <c r="A3329" t="s">
        <v>2686</v>
      </c>
      <c r="C3329" t="s">
        <v>2398</v>
      </c>
      <c r="G3329" t="s">
        <v>1152</v>
      </c>
      <c r="I3329" t="s">
        <v>2494</v>
      </c>
    </row>
    <row r="3330" spans="1:9" x14ac:dyDescent="0.3">
      <c r="A3330" t="s">
        <v>2687</v>
      </c>
      <c r="C3330" t="s">
        <v>2399</v>
      </c>
      <c r="G3330" t="s">
        <v>1153</v>
      </c>
      <c r="I3330" t="s">
        <v>2495</v>
      </c>
    </row>
    <row r="3331" spans="1:9" x14ac:dyDescent="0.3">
      <c r="A3331" t="s">
        <v>2688</v>
      </c>
      <c r="C3331" t="s">
        <v>2400</v>
      </c>
      <c r="G3331" t="s">
        <v>89</v>
      </c>
      <c r="I3331" t="s">
        <v>2496</v>
      </c>
    </row>
    <row r="3332" spans="1:9" x14ac:dyDescent="0.3">
      <c r="A3332" t="s">
        <v>2689</v>
      </c>
      <c r="C3332" t="s">
        <v>2401</v>
      </c>
      <c r="G3332" t="s">
        <v>1154</v>
      </c>
      <c r="I3332" t="s">
        <v>2497</v>
      </c>
    </row>
    <row r="3333" spans="1:9" x14ac:dyDescent="0.3">
      <c r="A3333" t="s">
        <v>2690</v>
      </c>
      <c r="C3333" t="s">
        <v>2402</v>
      </c>
      <c r="G3333" t="s">
        <v>1155</v>
      </c>
      <c r="I3333" t="s">
        <v>2498</v>
      </c>
    </row>
    <row r="3334" spans="1:9" x14ac:dyDescent="0.3">
      <c r="A3334" t="s">
        <v>2691</v>
      </c>
      <c r="C3334" t="s">
        <v>2403</v>
      </c>
      <c r="G3334" t="s">
        <v>1156</v>
      </c>
      <c r="I3334" t="s">
        <v>2499</v>
      </c>
    </row>
    <row r="3335" spans="1:9" x14ac:dyDescent="0.3">
      <c r="A3335" t="s">
        <v>2692</v>
      </c>
      <c r="C3335" t="s">
        <v>2404</v>
      </c>
      <c r="G3335" t="s">
        <v>1159</v>
      </c>
      <c r="I3335" t="s">
        <v>2500</v>
      </c>
    </row>
    <row r="3336" spans="1:9" x14ac:dyDescent="0.3">
      <c r="A3336" t="s">
        <v>2693</v>
      </c>
      <c r="C3336" t="s">
        <v>2405</v>
      </c>
      <c r="G3336" t="s">
        <v>1160</v>
      </c>
      <c r="I3336" t="s">
        <v>2493</v>
      </c>
    </row>
    <row r="3337" spans="1:9" x14ac:dyDescent="0.3">
      <c r="A3337" t="s">
        <v>2694</v>
      </c>
      <c r="C3337" t="s">
        <v>2406</v>
      </c>
      <c r="G3337" t="s">
        <v>1161</v>
      </c>
      <c r="I3337" t="s">
        <v>2501</v>
      </c>
    </row>
    <row r="3338" spans="1:9" x14ac:dyDescent="0.3">
      <c r="A3338" t="s">
        <v>2695</v>
      </c>
      <c r="C3338" t="s">
        <v>2407</v>
      </c>
      <c r="G3338" t="s">
        <v>1162</v>
      </c>
      <c r="I3338" t="s">
        <v>2502</v>
      </c>
    </row>
    <row r="3339" spans="1:9" x14ac:dyDescent="0.3">
      <c r="A3339" t="s">
        <v>2696</v>
      </c>
      <c r="C3339" t="s">
        <v>2408</v>
      </c>
      <c r="G3339" t="s">
        <v>1163</v>
      </c>
      <c r="I3339" t="s">
        <v>2503</v>
      </c>
    </row>
    <row r="3340" spans="1:9" x14ac:dyDescent="0.3">
      <c r="A3340" t="s">
        <v>2697</v>
      </c>
      <c r="C3340" t="s">
        <v>2409</v>
      </c>
      <c r="G3340" t="s">
        <v>1164</v>
      </c>
      <c r="I3340" t="s">
        <v>2504</v>
      </c>
    </row>
    <row r="3341" spans="1:9" x14ac:dyDescent="0.3">
      <c r="A3341" t="s">
        <v>2698</v>
      </c>
      <c r="C3341" t="s">
        <v>2410</v>
      </c>
      <c r="G3341" t="s">
        <v>1165</v>
      </c>
      <c r="I3341" t="s">
        <v>2505</v>
      </c>
    </row>
    <row r="3342" spans="1:9" x14ac:dyDescent="0.3">
      <c r="C3342" t="s">
        <v>2411</v>
      </c>
      <c r="G3342" t="s">
        <v>1166</v>
      </c>
      <c r="I3342" t="s">
        <v>2506</v>
      </c>
    </row>
    <row r="3343" spans="1:9" x14ac:dyDescent="0.3">
      <c r="C3343" t="s">
        <v>2412</v>
      </c>
      <c r="G3343" t="s">
        <v>1167</v>
      </c>
      <c r="I3343" t="s">
        <v>2507</v>
      </c>
    </row>
    <row r="3344" spans="1:9" x14ac:dyDescent="0.3">
      <c r="A3344" t="s">
        <v>2699</v>
      </c>
      <c r="C3344" t="s">
        <v>2413</v>
      </c>
      <c r="G3344" t="s">
        <v>1168</v>
      </c>
      <c r="I3344" t="s">
        <v>2508</v>
      </c>
    </row>
    <row r="3345" spans="1:9" x14ac:dyDescent="0.3">
      <c r="A3345" t="s">
        <v>1911</v>
      </c>
      <c r="C3345" t="s">
        <v>2414</v>
      </c>
      <c r="G3345" t="s">
        <v>1169</v>
      </c>
      <c r="I3345" t="s">
        <v>2509</v>
      </c>
    </row>
    <row r="3346" spans="1:9" x14ac:dyDescent="0.3">
      <c r="C3346" t="s">
        <v>2415</v>
      </c>
      <c r="G3346" t="s">
        <v>1170</v>
      </c>
    </row>
    <row r="3347" spans="1:9" x14ac:dyDescent="0.3">
      <c r="A3347" t="s">
        <v>2700</v>
      </c>
      <c r="C3347" t="s">
        <v>2416</v>
      </c>
      <c r="G3347" t="s">
        <v>1171</v>
      </c>
    </row>
    <row r="3348" spans="1:9" x14ac:dyDescent="0.3">
      <c r="A3348" t="s">
        <v>2701</v>
      </c>
      <c r="C3348" t="s">
        <v>2417</v>
      </c>
      <c r="G3348" t="s">
        <v>1172</v>
      </c>
      <c r="I3348" t="s">
        <v>2510</v>
      </c>
    </row>
    <row r="3349" spans="1:9" x14ac:dyDescent="0.3">
      <c r="A3349" t="s">
        <v>2702</v>
      </c>
      <c r="C3349" t="s">
        <v>2418</v>
      </c>
      <c r="G3349" t="s">
        <v>1173</v>
      </c>
      <c r="I3349" t="s">
        <v>1911</v>
      </c>
    </row>
    <row r="3350" spans="1:9" x14ac:dyDescent="0.3">
      <c r="A3350" t="s">
        <v>2703</v>
      </c>
      <c r="C3350" t="s">
        <v>2419</v>
      </c>
      <c r="G3350" t="s">
        <v>1174</v>
      </c>
    </row>
    <row r="3351" spans="1:9" x14ac:dyDescent="0.3">
      <c r="A3351" t="s">
        <v>2704</v>
      </c>
      <c r="C3351" t="s">
        <v>3446</v>
      </c>
      <c r="G3351" t="s">
        <v>1175</v>
      </c>
      <c r="I3351" t="s">
        <v>3272</v>
      </c>
    </row>
    <row r="3352" spans="1:9" x14ac:dyDescent="0.3">
      <c r="A3352" t="s">
        <v>2705</v>
      </c>
      <c r="C3352" t="s">
        <v>2422</v>
      </c>
      <c r="G3352" t="s">
        <v>1176</v>
      </c>
    </row>
    <row r="3353" spans="1:9" x14ac:dyDescent="0.3">
      <c r="A3353" t="s">
        <v>2706</v>
      </c>
      <c r="C3353" t="s">
        <v>2423</v>
      </c>
      <c r="G3353" t="s">
        <v>1177</v>
      </c>
      <c r="I3353" t="s">
        <v>2511</v>
      </c>
    </row>
    <row r="3354" spans="1:9" x14ac:dyDescent="0.3">
      <c r="A3354" t="s">
        <v>2707</v>
      </c>
      <c r="G3354" t="s">
        <v>1180</v>
      </c>
      <c r="I3354" t="s">
        <v>2512</v>
      </c>
    </row>
    <row r="3355" spans="1:9" x14ac:dyDescent="0.3">
      <c r="G3355" t="s">
        <v>1181</v>
      </c>
      <c r="I3355" t="s">
        <v>2513</v>
      </c>
    </row>
    <row r="3356" spans="1:9" x14ac:dyDescent="0.3">
      <c r="C3356" t="s">
        <v>1871</v>
      </c>
      <c r="G3356" t="s">
        <v>1182</v>
      </c>
      <c r="I3356" t="s">
        <v>2514</v>
      </c>
    </row>
    <row r="3357" spans="1:9" x14ac:dyDescent="0.3">
      <c r="A3357" t="s">
        <v>2708</v>
      </c>
      <c r="C3357" t="s">
        <v>1911</v>
      </c>
      <c r="G3357" t="s">
        <v>3982</v>
      </c>
      <c r="I3357" t="s">
        <v>286</v>
      </c>
    </row>
    <row r="3358" spans="1:9" x14ac:dyDescent="0.3">
      <c r="A3358" t="s">
        <v>1911</v>
      </c>
      <c r="I3358" t="s">
        <v>287</v>
      </c>
    </row>
    <row r="3359" spans="1:9" x14ac:dyDescent="0.3">
      <c r="C3359" t="s">
        <v>3238</v>
      </c>
      <c r="I3359" t="s">
        <v>2515</v>
      </c>
    </row>
    <row r="3360" spans="1:9" x14ac:dyDescent="0.3">
      <c r="A3360" t="s">
        <v>2709</v>
      </c>
      <c r="G3360" t="s">
        <v>1615</v>
      </c>
      <c r="I3360" t="s">
        <v>2516</v>
      </c>
    </row>
    <row r="3361" spans="1:9" x14ac:dyDescent="0.3">
      <c r="A3361" t="s">
        <v>2710</v>
      </c>
      <c r="C3361" t="s">
        <v>2415</v>
      </c>
      <c r="G3361" t="s">
        <v>1503</v>
      </c>
      <c r="I3361" t="s">
        <v>2517</v>
      </c>
    </row>
    <row r="3362" spans="1:9" x14ac:dyDescent="0.3">
      <c r="A3362" t="s">
        <v>2711</v>
      </c>
      <c r="C3362" t="s">
        <v>2416</v>
      </c>
      <c r="I3362" t="s">
        <v>2518</v>
      </c>
    </row>
    <row r="3363" spans="1:9" x14ac:dyDescent="0.3">
      <c r="A3363" t="s">
        <v>2712</v>
      </c>
      <c r="C3363" t="s">
        <v>2417</v>
      </c>
      <c r="G3363" t="s">
        <v>3222</v>
      </c>
      <c r="I3363" t="s">
        <v>2519</v>
      </c>
    </row>
    <row r="3364" spans="1:9" x14ac:dyDescent="0.3">
      <c r="A3364" t="s">
        <v>2713</v>
      </c>
      <c r="C3364" t="s">
        <v>2418</v>
      </c>
      <c r="I3364" t="s">
        <v>2520</v>
      </c>
    </row>
    <row r="3365" spans="1:9" x14ac:dyDescent="0.3">
      <c r="A3365" t="s">
        <v>2714</v>
      </c>
      <c r="C3365" t="s">
        <v>2419</v>
      </c>
      <c r="G3365" t="s">
        <v>1176</v>
      </c>
      <c r="I3365" t="s">
        <v>2521</v>
      </c>
    </row>
    <row r="3366" spans="1:9" x14ac:dyDescent="0.3">
      <c r="A3366" t="s">
        <v>2715</v>
      </c>
      <c r="C3366" t="s">
        <v>3446</v>
      </c>
      <c r="G3366" t="s">
        <v>1177</v>
      </c>
      <c r="I3366" t="s">
        <v>2522</v>
      </c>
    </row>
    <row r="3367" spans="1:9" x14ac:dyDescent="0.3">
      <c r="A3367" t="s">
        <v>2716</v>
      </c>
      <c r="C3367" t="s">
        <v>2422</v>
      </c>
      <c r="G3367" t="s">
        <v>1180</v>
      </c>
      <c r="I3367" t="s">
        <v>2523</v>
      </c>
    </row>
    <row r="3368" spans="1:9" x14ac:dyDescent="0.3">
      <c r="A3368" t="s">
        <v>2717</v>
      </c>
      <c r="C3368" t="s">
        <v>2423</v>
      </c>
      <c r="G3368" t="s">
        <v>1181</v>
      </c>
      <c r="I3368" t="s">
        <v>2524</v>
      </c>
    </row>
    <row r="3369" spans="1:9" x14ac:dyDescent="0.3">
      <c r="A3369" t="s">
        <v>2718</v>
      </c>
      <c r="C3369" t="s">
        <v>2424</v>
      </c>
      <c r="G3369" t="s">
        <v>1182</v>
      </c>
      <c r="I3369">
        <v>12</v>
      </c>
    </row>
    <row r="3370" spans="1:9" x14ac:dyDescent="0.3">
      <c r="A3370" t="e">
        <f>- il numero dei liquidatori e le regole di funzionamento del</f>
        <v>#NAME?</v>
      </c>
      <c r="C3370">
        <v>10</v>
      </c>
      <c r="G3370" t="s">
        <v>1183</v>
      </c>
      <c r="I3370" t="s">
        <v>89</v>
      </c>
    </row>
    <row r="3371" spans="1:9" x14ac:dyDescent="0.3">
      <c r="A3371" t="s">
        <v>2719</v>
      </c>
      <c r="C3371" t="s">
        <v>89</v>
      </c>
      <c r="G3371" t="s">
        <v>1184</v>
      </c>
      <c r="I3371" t="s">
        <v>2525</v>
      </c>
    </row>
    <row r="3372" spans="1:9" x14ac:dyDescent="0.3">
      <c r="A3372" t="s">
        <v>2720</v>
      </c>
      <c r="C3372" t="s">
        <v>2425</v>
      </c>
      <c r="G3372" t="s">
        <v>1185</v>
      </c>
      <c r="I3372" t="s">
        <v>2526</v>
      </c>
    </row>
    <row r="3373" spans="1:9" x14ac:dyDescent="0.3">
      <c r="A3373" t="s">
        <v>2721</v>
      </c>
      <c r="C3373" t="s">
        <v>2426</v>
      </c>
      <c r="G3373" t="s">
        <v>1186</v>
      </c>
      <c r="I3373" t="s">
        <v>2527</v>
      </c>
    </row>
    <row r="3374" spans="1:9" x14ac:dyDescent="0.3">
      <c r="A3374" t="s">
        <v>2722</v>
      </c>
      <c r="C3374" t="s">
        <v>2427</v>
      </c>
      <c r="G3374" t="s">
        <v>1187</v>
      </c>
      <c r="I3374" t="s">
        <v>2528</v>
      </c>
    </row>
    <row r="3375" spans="1:9" x14ac:dyDescent="0.3">
      <c r="A3375" t="e">
        <f>- i poteri dei liquidatori.</f>
        <v>#NAME?</v>
      </c>
      <c r="C3375" t="s">
        <v>2428</v>
      </c>
      <c r="G3375" t="s">
        <v>1188</v>
      </c>
      <c r="I3375" t="s">
        <v>2529</v>
      </c>
    </row>
    <row r="3376" spans="1:9" x14ac:dyDescent="0.3">
      <c r="A3376" t="s">
        <v>2723</v>
      </c>
      <c r="C3376" t="s">
        <v>2429</v>
      </c>
      <c r="G3376" t="s">
        <v>1189</v>
      </c>
    </row>
    <row r="3377" spans="1:9" x14ac:dyDescent="0.3">
      <c r="A3377" t="s">
        <v>2724</v>
      </c>
      <c r="C3377" t="s">
        <v>2430</v>
      </c>
      <c r="G3377" t="s">
        <v>1190</v>
      </c>
    </row>
    <row r="3378" spans="1:9" x14ac:dyDescent="0.3">
      <c r="A3378" t="s">
        <v>2725</v>
      </c>
      <c r="C3378" t="s">
        <v>2431</v>
      </c>
      <c r="G3378" t="s">
        <v>1191</v>
      </c>
      <c r="I3378" t="s">
        <v>2530</v>
      </c>
    </row>
    <row r="3379" spans="1:9" x14ac:dyDescent="0.3">
      <c r="C3379" t="s">
        <v>2432</v>
      </c>
      <c r="G3379" t="s">
        <v>1192</v>
      </c>
      <c r="I3379" t="s">
        <v>1911</v>
      </c>
    </row>
    <row r="3380" spans="1:9" x14ac:dyDescent="0.3">
      <c r="C3380" t="s">
        <v>2433</v>
      </c>
      <c r="G3380" t="s">
        <v>1193</v>
      </c>
    </row>
    <row r="3381" spans="1:9" x14ac:dyDescent="0.3">
      <c r="A3381" t="s">
        <v>2726</v>
      </c>
      <c r="C3381" t="s">
        <v>2434</v>
      </c>
      <c r="G3381" t="s">
        <v>1194</v>
      </c>
      <c r="I3381" t="s">
        <v>3273</v>
      </c>
    </row>
    <row r="3382" spans="1:9" x14ac:dyDescent="0.3">
      <c r="A3382" t="s">
        <v>1911</v>
      </c>
      <c r="C3382" t="s">
        <v>2435</v>
      </c>
      <c r="G3382" t="s">
        <v>1195</v>
      </c>
    </row>
    <row r="3383" spans="1:9" x14ac:dyDescent="0.3">
      <c r="C3383" t="s">
        <v>2436</v>
      </c>
      <c r="G3383" t="s">
        <v>1196</v>
      </c>
      <c r="I3383" t="s">
        <v>2531</v>
      </c>
    </row>
    <row r="3384" spans="1:9" x14ac:dyDescent="0.3">
      <c r="A3384" t="s">
        <v>2727</v>
      </c>
      <c r="C3384" t="s">
        <v>3447</v>
      </c>
      <c r="G3384" t="s">
        <v>1197</v>
      </c>
      <c r="I3384" t="s">
        <v>2532</v>
      </c>
    </row>
    <row r="3385" spans="1:9" x14ac:dyDescent="0.3">
      <c r="A3385" t="s">
        <v>2728</v>
      </c>
      <c r="C3385" t="s">
        <v>2439</v>
      </c>
      <c r="G3385" t="s">
        <v>1198</v>
      </c>
      <c r="I3385" t="s">
        <v>2533</v>
      </c>
    </row>
    <row r="3386" spans="1:9" x14ac:dyDescent="0.3">
      <c r="A3386" t="s">
        <v>2729</v>
      </c>
      <c r="C3386" t="s">
        <v>2440</v>
      </c>
      <c r="G3386" t="s">
        <v>1199</v>
      </c>
      <c r="I3386" t="s">
        <v>2534</v>
      </c>
    </row>
    <row r="3387" spans="1:9" x14ac:dyDescent="0.3">
      <c r="C3387" t="s">
        <v>2441</v>
      </c>
      <c r="G3387" t="s">
        <v>1200</v>
      </c>
      <c r="I3387" t="s">
        <v>2535</v>
      </c>
    </row>
    <row r="3388" spans="1:9" x14ac:dyDescent="0.3">
      <c r="C3388" t="s">
        <v>2442</v>
      </c>
      <c r="G3388" t="s">
        <v>1201</v>
      </c>
      <c r="I3388" t="s">
        <v>2536</v>
      </c>
    </row>
    <row r="3389" spans="1:9" x14ac:dyDescent="0.3">
      <c r="A3389" t="s">
        <v>2730</v>
      </c>
      <c r="C3389" t="s">
        <v>2443</v>
      </c>
      <c r="G3389" t="s">
        <v>1204</v>
      </c>
      <c r="I3389" t="s">
        <v>2537</v>
      </c>
    </row>
    <row r="3390" spans="1:9" x14ac:dyDescent="0.3">
      <c r="A3390" t="s">
        <v>1911</v>
      </c>
      <c r="C3390" t="s">
        <v>2444</v>
      </c>
      <c r="G3390" t="s">
        <v>1205</v>
      </c>
      <c r="I3390" t="s">
        <v>2538</v>
      </c>
    </row>
    <row r="3391" spans="1:9" x14ac:dyDescent="0.3">
      <c r="C3391" t="s">
        <v>2445</v>
      </c>
      <c r="G3391" t="s">
        <v>1206</v>
      </c>
      <c r="I3391" t="s">
        <v>2539</v>
      </c>
    </row>
    <row r="3392" spans="1:9" x14ac:dyDescent="0.3">
      <c r="A3392" t="s">
        <v>2731</v>
      </c>
      <c r="C3392" t="s">
        <v>2446</v>
      </c>
      <c r="G3392" t="s">
        <v>1207</v>
      </c>
      <c r="I3392" t="s">
        <v>2540</v>
      </c>
    </row>
    <row r="3393" spans="1:9" x14ac:dyDescent="0.3">
      <c r="A3393" t="s">
        <v>2732</v>
      </c>
      <c r="C3393" t="s">
        <v>2447</v>
      </c>
      <c r="G3393" t="s">
        <v>1208</v>
      </c>
      <c r="I3393" t="s">
        <v>2541</v>
      </c>
    </row>
    <row r="3394" spans="1:9" x14ac:dyDescent="0.3">
      <c r="A3394" t="s">
        <v>2733</v>
      </c>
      <c r="C3394" t="s">
        <v>645</v>
      </c>
      <c r="G3394" t="s">
        <v>1209</v>
      </c>
      <c r="I3394" t="s">
        <v>2542</v>
      </c>
    </row>
    <row r="3395" spans="1:9" x14ac:dyDescent="0.3">
      <c r="A3395" t="s">
        <v>2734</v>
      </c>
      <c r="G3395" t="s">
        <v>3983</v>
      </c>
      <c r="I3395" t="s">
        <v>2543</v>
      </c>
    </row>
    <row r="3396" spans="1:9" x14ac:dyDescent="0.3">
      <c r="A3396" t="s">
        <v>2735</v>
      </c>
      <c r="I3396" t="s">
        <v>2544</v>
      </c>
    </row>
    <row r="3397" spans="1:9" x14ac:dyDescent="0.3">
      <c r="A3397" t="s">
        <v>2736</v>
      </c>
      <c r="C3397" t="s">
        <v>1881</v>
      </c>
    </row>
    <row r="3398" spans="1:9" x14ac:dyDescent="0.3">
      <c r="A3398" t="s">
        <v>2737</v>
      </c>
      <c r="C3398" t="s">
        <v>1911</v>
      </c>
      <c r="G3398" t="s">
        <v>1637</v>
      </c>
    </row>
    <row r="3399" spans="1:9" x14ac:dyDescent="0.3">
      <c r="A3399">
        <v>16</v>
      </c>
      <c r="G3399" t="s">
        <v>1503</v>
      </c>
      <c r="I3399" t="s">
        <v>2545</v>
      </c>
    </row>
    <row r="3400" spans="1:9" x14ac:dyDescent="0.3">
      <c r="A3400" t="s">
        <v>89</v>
      </c>
      <c r="C3400" t="s">
        <v>3239</v>
      </c>
      <c r="I3400" t="s">
        <v>1911</v>
      </c>
    </row>
    <row r="3401" spans="1:9" x14ac:dyDescent="0.3">
      <c r="A3401" t="s">
        <v>2738</v>
      </c>
      <c r="G3401" t="s">
        <v>3223</v>
      </c>
    </row>
    <row r="3402" spans="1:9" x14ac:dyDescent="0.3">
      <c r="A3402" t="s">
        <v>2739</v>
      </c>
      <c r="C3402" t="s">
        <v>2439</v>
      </c>
      <c r="I3402" t="s">
        <v>3274</v>
      </c>
    </row>
    <row r="3403" spans="1:9" x14ac:dyDescent="0.3">
      <c r="A3403" t="s">
        <v>2740</v>
      </c>
      <c r="C3403" t="s">
        <v>2440</v>
      </c>
      <c r="G3403" t="s">
        <v>1205</v>
      </c>
    </row>
    <row r="3404" spans="1:9" x14ac:dyDescent="0.3">
      <c r="A3404" t="s">
        <v>2741</v>
      </c>
      <c r="C3404" t="s">
        <v>2441</v>
      </c>
      <c r="G3404" t="s">
        <v>1206</v>
      </c>
      <c r="I3404" t="s">
        <v>2546</v>
      </c>
    </row>
    <row r="3405" spans="1:9" x14ac:dyDescent="0.3">
      <c r="A3405" t="s">
        <v>2742</v>
      </c>
      <c r="C3405" t="s">
        <v>2442</v>
      </c>
      <c r="G3405" t="s">
        <v>1207</v>
      </c>
      <c r="I3405" t="s">
        <v>2547</v>
      </c>
    </row>
    <row r="3406" spans="1:9" x14ac:dyDescent="0.3">
      <c r="A3406" t="s">
        <v>2743</v>
      </c>
      <c r="C3406" t="s">
        <v>2443</v>
      </c>
      <c r="G3406" t="s">
        <v>1208</v>
      </c>
      <c r="I3406" t="s">
        <v>2548</v>
      </c>
    </row>
    <row r="3407" spans="1:9" x14ac:dyDescent="0.3">
      <c r="A3407" t="s">
        <v>2744</v>
      </c>
      <c r="C3407" t="s">
        <v>2444</v>
      </c>
      <c r="G3407" t="s">
        <v>1209</v>
      </c>
      <c r="I3407" t="s">
        <v>2549</v>
      </c>
    </row>
    <row r="3408" spans="1:9" x14ac:dyDescent="0.3">
      <c r="A3408" t="s">
        <v>2745</v>
      </c>
      <c r="C3408" t="s">
        <v>2445</v>
      </c>
      <c r="G3408" t="s">
        <v>1210</v>
      </c>
      <c r="I3408" t="s">
        <v>2550</v>
      </c>
    </row>
    <row r="3409" spans="1:9" x14ac:dyDescent="0.3">
      <c r="A3409" t="s">
        <v>2746</v>
      </c>
      <c r="C3409" t="s">
        <v>2446</v>
      </c>
      <c r="G3409" t="s">
        <v>1211</v>
      </c>
      <c r="I3409" t="s">
        <v>2551</v>
      </c>
    </row>
    <row r="3410" spans="1:9" x14ac:dyDescent="0.3">
      <c r="A3410" t="s">
        <v>2747</v>
      </c>
      <c r="C3410" t="s">
        <v>2447</v>
      </c>
      <c r="G3410" t="s">
        <v>1212</v>
      </c>
      <c r="I3410" t="s">
        <v>2552</v>
      </c>
    </row>
    <row r="3411" spans="1:9" x14ac:dyDescent="0.3">
      <c r="A3411" t="s">
        <v>2748</v>
      </c>
      <c r="C3411" t="s">
        <v>647</v>
      </c>
      <c r="G3411" t="s">
        <v>1213</v>
      </c>
      <c r="I3411" t="s">
        <v>2553</v>
      </c>
    </row>
    <row r="3412" spans="1:9" x14ac:dyDescent="0.3">
      <c r="A3412" t="s">
        <v>2749</v>
      </c>
      <c r="C3412" t="s">
        <v>2448</v>
      </c>
      <c r="G3412" t="s">
        <v>1214</v>
      </c>
      <c r="I3412" t="s">
        <v>2554</v>
      </c>
    </row>
    <row r="3413" spans="1:9" x14ac:dyDescent="0.3">
      <c r="A3413" t="s">
        <v>2750</v>
      </c>
      <c r="C3413" t="s">
        <v>3448</v>
      </c>
      <c r="G3413" t="s">
        <v>89</v>
      </c>
      <c r="I3413" t="s">
        <v>2555</v>
      </c>
    </row>
    <row r="3414" spans="1:9" x14ac:dyDescent="0.3">
      <c r="A3414" t="s">
        <v>2751</v>
      </c>
      <c r="C3414" t="s">
        <v>2451</v>
      </c>
      <c r="G3414" t="s">
        <v>1215</v>
      </c>
      <c r="I3414" t="s">
        <v>2556</v>
      </c>
    </row>
    <row r="3415" spans="1:9" x14ac:dyDescent="0.3">
      <c r="A3415" t="s">
        <v>2752</v>
      </c>
      <c r="C3415" t="s">
        <v>2452</v>
      </c>
      <c r="G3415" t="s">
        <v>1216</v>
      </c>
    </row>
    <row r="3416" spans="1:9" x14ac:dyDescent="0.3">
      <c r="A3416" t="s">
        <v>2753</v>
      </c>
      <c r="C3416" t="s">
        <v>2453</v>
      </c>
      <c r="G3416" t="s">
        <v>1217</v>
      </c>
    </row>
    <row r="3417" spans="1:9" x14ac:dyDescent="0.3">
      <c r="A3417" t="s">
        <v>2754</v>
      </c>
      <c r="C3417" t="s">
        <v>2454</v>
      </c>
      <c r="G3417" t="s">
        <v>1218</v>
      </c>
      <c r="I3417" t="s">
        <v>2557</v>
      </c>
    </row>
    <row r="3418" spans="1:9" x14ac:dyDescent="0.3">
      <c r="A3418" t="s">
        <v>2755</v>
      </c>
      <c r="C3418" t="s">
        <v>2455</v>
      </c>
      <c r="G3418" t="s">
        <v>1219</v>
      </c>
      <c r="I3418" t="s">
        <v>1911</v>
      </c>
    </row>
    <row r="3419" spans="1:9" x14ac:dyDescent="0.3">
      <c r="A3419" t="s">
        <v>2756</v>
      </c>
      <c r="C3419" t="s">
        <v>2456</v>
      </c>
      <c r="G3419" t="s">
        <v>1220</v>
      </c>
    </row>
    <row r="3420" spans="1:9" x14ac:dyDescent="0.3">
      <c r="A3420" t="s">
        <v>2757</v>
      </c>
      <c r="C3420" t="s">
        <v>2457</v>
      </c>
      <c r="G3420" t="s">
        <v>1221</v>
      </c>
      <c r="I3420" t="s">
        <v>3275</v>
      </c>
    </row>
    <row r="3421" spans="1:9" x14ac:dyDescent="0.3">
      <c r="A3421" t="s">
        <v>2758</v>
      </c>
      <c r="C3421" t="s">
        <v>2458</v>
      </c>
      <c r="G3421" t="s">
        <v>1222</v>
      </c>
    </row>
    <row r="3422" spans="1:9" x14ac:dyDescent="0.3">
      <c r="A3422" t="s">
        <v>2759</v>
      </c>
      <c r="C3422" t="s">
        <v>2459</v>
      </c>
      <c r="G3422" t="s">
        <v>1223</v>
      </c>
      <c r="I3422" t="s">
        <v>2558</v>
      </c>
    </row>
    <row r="3423" spans="1:9" x14ac:dyDescent="0.3">
      <c r="A3423" t="s">
        <v>2760</v>
      </c>
      <c r="C3423" t="s">
        <v>2460</v>
      </c>
      <c r="G3423" t="s">
        <v>1224</v>
      </c>
      <c r="I3423" t="s">
        <v>2559</v>
      </c>
    </row>
    <row r="3424" spans="1:9" x14ac:dyDescent="0.3">
      <c r="A3424" t="s">
        <v>2761</v>
      </c>
      <c r="C3424" t="s">
        <v>2461</v>
      </c>
      <c r="G3424" t="s">
        <v>1227</v>
      </c>
      <c r="I3424" t="s">
        <v>2560</v>
      </c>
    </row>
    <row r="3425" spans="1:9" x14ac:dyDescent="0.3">
      <c r="A3425" t="s">
        <v>2762</v>
      </c>
      <c r="C3425" t="s">
        <v>2462</v>
      </c>
      <c r="G3425" t="s">
        <v>1228</v>
      </c>
      <c r="I3425" t="s">
        <v>2561</v>
      </c>
    </row>
    <row r="3426" spans="1:9" x14ac:dyDescent="0.3">
      <c r="A3426" t="s">
        <v>2763</v>
      </c>
      <c r="C3426" t="s">
        <v>2463</v>
      </c>
      <c r="G3426" t="s">
        <v>1229</v>
      </c>
      <c r="I3426" t="s">
        <v>2562</v>
      </c>
    </row>
    <row r="3427" spans="1:9" x14ac:dyDescent="0.3">
      <c r="A3427" t="s">
        <v>2764</v>
      </c>
      <c r="C3427" t="s">
        <v>2464</v>
      </c>
      <c r="G3427" t="s">
        <v>1230</v>
      </c>
      <c r="I3427" t="s">
        <v>2563</v>
      </c>
    </row>
    <row r="3428" spans="1:9" x14ac:dyDescent="0.3">
      <c r="A3428" t="s">
        <v>2765</v>
      </c>
      <c r="C3428" t="s">
        <v>2465</v>
      </c>
      <c r="G3428" t="s">
        <v>1231</v>
      </c>
      <c r="I3428" t="s">
        <v>2564</v>
      </c>
    </row>
    <row r="3429" spans="1:9" x14ac:dyDescent="0.3">
      <c r="A3429" t="s">
        <v>2766</v>
      </c>
      <c r="C3429" t="s">
        <v>2466</v>
      </c>
      <c r="G3429" t="s">
        <v>1232</v>
      </c>
      <c r="I3429" t="s">
        <v>2565</v>
      </c>
    </row>
    <row r="3430" spans="1:9" x14ac:dyDescent="0.3">
      <c r="C3430" t="s">
        <v>2467</v>
      </c>
      <c r="G3430" t="s">
        <v>1233</v>
      </c>
      <c r="I3430" t="s">
        <v>2566</v>
      </c>
    </row>
    <row r="3431" spans="1:9" x14ac:dyDescent="0.3">
      <c r="C3431" t="s">
        <v>2468</v>
      </c>
      <c r="G3431" t="s">
        <v>1234</v>
      </c>
      <c r="I3431" t="e">
        <f>- lettera raccomandata o telegramma spediti al domicilio di</f>
        <v>#NAME?</v>
      </c>
    </row>
    <row r="3432" spans="1:9" x14ac:dyDescent="0.3">
      <c r="A3432" t="s">
        <v>2767</v>
      </c>
      <c r="C3432" t="s">
        <v>2469</v>
      </c>
      <c r="G3432" t="s">
        <v>3984</v>
      </c>
      <c r="I3432" t="s">
        <v>2567</v>
      </c>
    </row>
    <row r="3433" spans="1:9" x14ac:dyDescent="0.3">
      <c r="A3433" t="s">
        <v>1911</v>
      </c>
      <c r="C3433" t="s">
        <v>2470</v>
      </c>
      <c r="I3433" t="s">
        <v>2568</v>
      </c>
    </row>
    <row r="3434" spans="1:9" x14ac:dyDescent="0.3">
      <c r="C3434" t="s">
        <v>2471</v>
      </c>
      <c r="I3434" t="s">
        <v>2569</v>
      </c>
    </row>
    <row r="3435" spans="1:9" x14ac:dyDescent="0.3">
      <c r="A3435" t="s">
        <v>2768</v>
      </c>
      <c r="C3435" t="s">
        <v>3449</v>
      </c>
      <c r="G3435" t="s">
        <v>1660</v>
      </c>
      <c r="I3435" t="s">
        <v>2570</v>
      </c>
    </row>
    <row r="3436" spans="1:9" x14ac:dyDescent="0.3">
      <c r="A3436" t="s">
        <v>2769</v>
      </c>
      <c r="G3436" t="s">
        <v>1503</v>
      </c>
      <c r="I3436" t="s">
        <v>2571</v>
      </c>
    </row>
    <row r="3437" spans="1:9" x14ac:dyDescent="0.3">
      <c r="A3437" t="s">
        <v>2770</v>
      </c>
      <c r="I3437" t="s">
        <v>2572</v>
      </c>
    </row>
    <row r="3438" spans="1:9" x14ac:dyDescent="0.3">
      <c r="A3438" t="s">
        <v>2771</v>
      </c>
      <c r="C3438" t="s">
        <v>1887</v>
      </c>
      <c r="G3438" t="s">
        <v>3224</v>
      </c>
      <c r="I3438" t="s">
        <v>2573</v>
      </c>
    </row>
    <row r="3439" spans="1:9" x14ac:dyDescent="0.3">
      <c r="A3439" t="s">
        <v>2772</v>
      </c>
      <c r="C3439" t="s">
        <v>1911</v>
      </c>
      <c r="I3439" t="s">
        <v>2574</v>
      </c>
    </row>
    <row r="3440" spans="1:9" x14ac:dyDescent="0.3">
      <c r="A3440" t="s">
        <v>2773</v>
      </c>
      <c r="G3440" t="s">
        <v>1231</v>
      </c>
      <c r="I3440" t="s">
        <v>2575</v>
      </c>
    </row>
    <row r="3441" spans="1:9" x14ac:dyDescent="0.3">
      <c r="A3441" t="s">
        <v>2774</v>
      </c>
      <c r="C3441" t="s">
        <v>3240</v>
      </c>
      <c r="G3441" t="s">
        <v>1232</v>
      </c>
      <c r="I3441" t="s">
        <v>2576</v>
      </c>
    </row>
    <row r="3442" spans="1:9" x14ac:dyDescent="0.3">
      <c r="A3442" t="s">
        <v>2775</v>
      </c>
      <c r="G3442" t="s">
        <v>1233</v>
      </c>
      <c r="I3442">
        <v>13</v>
      </c>
    </row>
    <row r="3443" spans="1:9" x14ac:dyDescent="0.3">
      <c r="A3443" t="s">
        <v>2776</v>
      </c>
      <c r="C3443" t="s">
        <v>2465</v>
      </c>
      <c r="G3443" t="s">
        <v>1234</v>
      </c>
      <c r="I3443" t="s">
        <v>89</v>
      </c>
    </row>
    <row r="3444" spans="1:9" x14ac:dyDescent="0.3">
      <c r="A3444" t="s">
        <v>2777</v>
      </c>
      <c r="C3444" t="s">
        <v>2466</v>
      </c>
      <c r="G3444" t="s">
        <v>1235</v>
      </c>
      <c r="I3444" t="s">
        <v>2577</v>
      </c>
    </row>
    <row r="3445" spans="1:9" x14ac:dyDescent="0.3">
      <c r="A3445" t="s">
        <v>2778</v>
      </c>
      <c r="C3445" t="s">
        <v>2467</v>
      </c>
      <c r="G3445" t="s">
        <v>1236</v>
      </c>
      <c r="I3445" t="s">
        <v>2578</v>
      </c>
    </row>
    <row r="3446" spans="1:9" x14ac:dyDescent="0.3">
      <c r="A3446">
        <v>17</v>
      </c>
      <c r="C3446" t="s">
        <v>2468</v>
      </c>
      <c r="G3446" t="s">
        <v>1237</v>
      </c>
      <c r="I3446" t="s">
        <v>2579</v>
      </c>
    </row>
    <row r="3447" spans="1:9" x14ac:dyDescent="0.3">
      <c r="A3447" t="s">
        <v>89</v>
      </c>
      <c r="C3447" t="s">
        <v>2469</v>
      </c>
      <c r="G3447" t="s">
        <v>1238</v>
      </c>
      <c r="I3447" t="s">
        <v>2580</v>
      </c>
    </row>
    <row r="3448" spans="1:9" x14ac:dyDescent="0.3">
      <c r="A3448" t="s">
        <v>2779</v>
      </c>
      <c r="C3448" t="s">
        <v>2470</v>
      </c>
      <c r="G3448" t="s">
        <v>1239</v>
      </c>
      <c r="I3448" t="s">
        <v>2581</v>
      </c>
    </row>
    <row r="3449" spans="1:9" x14ac:dyDescent="0.3">
      <c r="A3449" t="s">
        <v>2780</v>
      </c>
      <c r="C3449" t="s">
        <v>2471</v>
      </c>
      <c r="G3449" t="s">
        <v>1240</v>
      </c>
      <c r="I3449" t="s">
        <v>2582</v>
      </c>
    </row>
    <row r="3450" spans="1:9" x14ac:dyDescent="0.3">
      <c r="A3450" t="s">
        <v>2781</v>
      </c>
      <c r="C3450" t="s">
        <v>2472</v>
      </c>
      <c r="G3450" t="s">
        <v>1241</v>
      </c>
      <c r="I3450" t="s">
        <v>2583</v>
      </c>
    </row>
    <row r="3451" spans="1:9" x14ac:dyDescent="0.3">
      <c r="A3451" t="s">
        <v>2782</v>
      </c>
      <c r="C3451" t="s">
        <v>2473</v>
      </c>
      <c r="G3451" t="s">
        <v>1242</v>
      </c>
      <c r="I3451" t="s">
        <v>2584</v>
      </c>
    </row>
    <row r="3452" spans="1:9" x14ac:dyDescent="0.3">
      <c r="A3452" t="s">
        <v>2783</v>
      </c>
      <c r="C3452" t="s">
        <v>2474</v>
      </c>
      <c r="G3452" t="s">
        <v>1243</v>
      </c>
      <c r="I3452" t="s">
        <v>2585</v>
      </c>
    </row>
    <row r="3453" spans="1:9" x14ac:dyDescent="0.3">
      <c r="C3453" t="s">
        <v>2475</v>
      </c>
      <c r="G3453" t="s">
        <v>1244</v>
      </c>
      <c r="I3453" t="s">
        <v>2586</v>
      </c>
    </row>
    <row r="3454" spans="1:9" x14ac:dyDescent="0.3">
      <c r="A3454" t="s">
        <v>2784</v>
      </c>
      <c r="C3454">
        <v>11</v>
      </c>
      <c r="G3454" t="s">
        <v>1247</v>
      </c>
      <c r="I3454" t="s">
        <v>2587</v>
      </c>
    </row>
    <row r="3455" spans="1:9" x14ac:dyDescent="0.3">
      <c r="C3455" t="s">
        <v>89</v>
      </c>
      <c r="G3455" t="s">
        <v>1248</v>
      </c>
      <c r="I3455" t="s">
        <v>2588</v>
      </c>
    </row>
    <row r="3456" spans="1:9" x14ac:dyDescent="0.3">
      <c r="C3456" t="s">
        <v>2476</v>
      </c>
      <c r="G3456" t="s">
        <v>1249</v>
      </c>
    </row>
    <row r="3457" spans="3:9" x14ac:dyDescent="0.3">
      <c r="C3457" t="s">
        <v>2477</v>
      </c>
      <c r="G3457" t="s">
        <v>1250</v>
      </c>
    </row>
    <row r="3458" spans="3:9" x14ac:dyDescent="0.3">
      <c r="C3458" t="s">
        <v>2478</v>
      </c>
      <c r="G3458" t="s">
        <v>1251</v>
      </c>
      <c r="I3458" t="s">
        <v>2589</v>
      </c>
    </row>
    <row r="3459" spans="3:9" x14ac:dyDescent="0.3">
      <c r="C3459" t="s">
        <v>2479</v>
      </c>
      <c r="G3459" t="s">
        <v>1252</v>
      </c>
      <c r="I3459" t="s">
        <v>1911</v>
      </c>
    </row>
    <row r="3460" spans="3:9" x14ac:dyDescent="0.3">
      <c r="C3460" t="s">
        <v>2480</v>
      </c>
      <c r="G3460" t="s">
        <v>1253</v>
      </c>
    </row>
    <row r="3461" spans="3:9" x14ac:dyDescent="0.3">
      <c r="C3461" t="s">
        <v>2481</v>
      </c>
      <c r="G3461" t="s">
        <v>1254</v>
      </c>
      <c r="I3461" t="s">
        <v>3276</v>
      </c>
    </row>
    <row r="3462" spans="3:9" x14ac:dyDescent="0.3">
      <c r="C3462" t="s">
        <v>2482</v>
      </c>
      <c r="G3462" t="s">
        <v>1255</v>
      </c>
    </row>
    <row r="3463" spans="3:9" x14ac:dyDescent="0.3">
      <c r="C3463" t="s">
        <v>2483</v>
      </c>
      <c r="G3463" t="s">
        <v>1256</v>
      </c>
      <c r="I3463" t="s">
        <v>2581</v>
      </c>
    </row>
    <row r="3464" spans="3:9" x14ac:dyDescent="0.3">
      <c r="C3464" t="s">
        <v>2484</v>
      </c>
      <c r="G3464" t="s">
        <v>1257</v>
      </c>
      <c r="I3464" t="s">
        <v>2582</v>
      </c>
    </row>
    <row r="3465" spans="3:9" x14ac:dyDescent="0.3">
      <c r="C3465" t="s">
        <v>2485</v>
      </c>
      <c r="G3465" t="s">
        <v>1258</v>
      </c>
      <c r="I3465" t="s">
        <v>2583</v>
      </c>
    </row>
    <row r="3466" spans="3:9" x14ac:dyDescent="0.3">
      <c r="C3466" t="s">
        <v>2486</v>
      </c>
      <c r="G3466" t="s">
        <v>1259</v>
      </c>
      <c r="I3466" t="s">
        <v>2584</v>
      </c>
    </row>
    <row r="3467" spans="3:9" x14ac:dyDescent="0.3">
      <c r="C3467" t="s">
        <v>2487</v>
      </c>
      <c r="G3467" t="s">
        <v>1260</v>
      </c>
      <c r="I3467" t="s">
        <v>2585</v>
      </c>
    </row>
    <row r="3468" spans="3:9" x14ac:dyDescent="0.3">
      <c r="C3468" t="s">
        <v>2488</v>
      </c>
      <c r="G3468" t="s">
        <v>3985</v>
      </c>
      <c r="I3468" t="s">
        <v>2586</v>
      </c>
    </row>
    <row r="3469" spans="3:9" x14ac:dyDescent="0.3">
      <c r="C3469" t="s">
        <v>3450</v>
      </c>
      <c r="I3469" t="s">
        <v>2587</v>
      </c>
    </row>
    <row r="3470" spans="3:9" x14ac:dyDescent="0.3">
      <c r="C3470" t="s">
        <v>2491</v>
      </c>
      <c r="I3470" t="s">
        <v>2590</v>
      </c>
    </row>
    <row r="3471" spans="3:9" x14ac:dyDescent="0.3">
      <c r="C3471" t="s">
        <v>2492</v>
      </c>
      <c r="G3471" t="s">
        <v>1674</v>
      </c>
      <c r="I3471" t="s">
        <v>2591</v>
      </c>
    </row>
    <row r="3472" spans="3:9" x14ac:dyDescent="0.3">
      <c r="C3472" t="s">
        <v>2493</v>
      </c>
      <c r="G3472" t="s">
        <v>1503</v>
      </c>
      <c r="I3472" t="s">
        <v>2592</v>
      </c>
    </row>
    <row r="3473" spans="3:9" x14ac:dyDescent="0.3">
      <c r="C3473" t="s">
        <v>2494</v>
      </c>
      <c r="I3473" t="s">
        <v>2593</v>
      </c>
    </row>
    <row r="3474" spans="3:9" x14ac:dyDescent="0.3">
      <c r="C3474" t="s">
        <v>2495</v>
      </c>
      <c r="G3474" t="s">
        <v>3225</v>
      </c>
      <c r="I3474" t="s">
        <v>2594</v>
      </c>
    </row>
    <row r="3475" spans="3:9" x14ac:dyDescent="0.3">
      <c r="C3475" t="s">
        <v>2496</v>
      </c>
      <c r="I3475" t="s">
        <v>2595</v>
      </c>
    </row>
    <row r="3476" spans="3:9" x14ac:dyDescent="0.3">
      <c r="C3476" t="s">
        <v>2497</v>
      </c>
      <c r="G3476" t="s">
        <v>1256</v>
      </c>
      <c r="I3476" t="s">
        <v>2596</v>
      </c>
    </row>
    <row r="3477" spans="3:9" x14ac:dyDescent="0.3">
      <c r="C3477" t="s">
        <v>2498</v>
      </c>
      <c r="G3477" t="s">
        <v>1257</v>
      </c>
      <c r="I3477" t="s">
        <v>2597</v>
      </c>
    </row>
    <row r="3478" spans="3:9" x14ac:dyDescent="0.3">
      <c r="C3478" t="s">
        <v>2499</v>
      </c>
      <c r="G3478" t="s">
        <v>1258</v>
      </c>
      <c r="I3478" t="s">
        <v>2598</v>
      </c>
    </row>
    <row r="3479" spans="3:9" x14ac:dyDescent="0.3">
      <c r="G3479" t="s">
        <v>1259</v>
      </c>
      <c r="I3479" t="s">
        <v>2599</v>
      </c>
    </row>
    <row r="3480" spans="3:9" x14ac:dyDescent="0.3">
      <c r="G3480" t="s">
        <v>1260</v>
      </c>
      <c r="I3480" t="s">
        <v>2600</v>
      </c>
    </row>
    <row r="3481" spans="3:9" x14ac:dyDescent="0.3">
      <c r="C3481" t="s">
        <v>1892</v>
      </c>
      <c r="G3481" t="s">
        <v>1261</v>
      </c>
      <c r="I3481" t="s">
        <v>2601</v>
      </c>
    </row>
    <row r="3482" spans="3:9" x14ac:dyDescent="0.3">
      <c r="C3482" t="s">
        <v>1911</v>
      </c>
      <c r="G3482" t="s">
        <v>1262</v>
      </c>
      <c r="I3482" t="s">
        <v>2602</v>
      </c>
    </row>
    <row r="3483" spans="3:9" x14ac:dyDescent="0.3">
      <c r="G3483" t="s">
        <v>1263</v>
      </c>
      <c r="I3483" t="s">
        <v>2603</v>
      </c>
    </row>
    <row r="3484" spans="3:9" x14ac:dyDescent="0.3">
      <c r="C3484" t="s">
        <v>3241</v>
      </c>
      <c r="G3484" t="s">
        <v>1264</v>
      </c>
      <c r="I3484" t="s">
        <v>2604</v>
      </c>
    </row>
    <row r="3485" spans="3:9" x14ac:dyDescent="0.3">
      <c r="G3485" t="s">
        <v>1265</v>
      </c>
      <c r="I3485" t="s">
        <v>2605</v>
      </c>
    </row>
    <row r="3486" spans="3:9" x14ac:dyDescent="0.3">
      <c r="C3486" t="s">
        <v>2493</v>
      </c>
      <c r="G3486" t="s">
        <v>1266</v>
      </c>
    </row>
    <row r="3487" spans="3:9" x14ac:dyDescent="0.3">
      <c r="C3487" t="s">
        <v>2494</v>
      </c>
      <c r="G3487" t="s">
        <v>1269</v>
      </c>
    </row>
    <row r="3488" spans="3:9" x14ac:dyDescent="0.3">
      <c r="C3488" t="s">
        <v>2495</v>
      </c>
      <c r="G3488" t="s">
        <v>1270</v>
      </c>
      <c r="I3488" t="s">
        <v>2606</v>
      </c>
    </row>
    <row r="3489" spans="3:9" x14ac:dyDescent="0.3">
      <c r="C3489" t="s">
        <v>2496</v>
      </c>
      <c r="G3489" t="s">
        <v>1271</v>
      </c>
      <c r="I3489" t="s">
        <v>1911</v>
      </c>
    </row>
    <row r="3490" spans="3:9" x14ac:dyDescent="0.3">
      <c r="C3490" t="s">
        <v>2497</v>
      </c>
      <c r="G3490" t="s">
        <v>1272</v>
      </c>
    </row>
    <row r="3491" spans="3:9" x14ac:dyDescent="0.3">
      <c r="C3491" t="s">
        <v>2498</v>
      </c>
      <c r="G3491" t="s">
        <v>1273</v>
      </c>
      <c r="I3491" t="s">
        <v>3277</v>
      </c>
    </row>
    <row r="3492" spans="3:9" x14ac:dyDescent="0.3">
      <c r="C3492" t="s">
        <v>2499</v>
      </c>
      <c r="G3492" t="s">
        <v>1274</v>
      </c>
    </row>
    <row r="3493" spans="3:9" x14ac:dyDescent="0.3">
      <c r="C3493" t="s">
        <v>2500</v>
      </c>
      <c r="G3493" t="s">
        <v>1275</v>
      </c>
      <c r="I3493" t="s">
        <v>2607</v>
      </c>
    </row>
    <row r="3494" spans="3:9" x14ac:dyDescent="0.3">
      <c r="C3494" t="s">
        <v>2493</v>
      </c>
      <c r="G3494" t="s">
        <v>89</v>
      </c>
      <c r="I3494" t="s">
        <v>2608</v>
      </c>
    </row>
    <row r="3495" spans="3:9" x14ac:dyDescent="0.3">
      <c r="C3495" t="s">
        <v>2501</v>
      </c>
      <c r="G3495" t="s">
        <v>1276</v>
      </c>
      <c r="I3495" t="s">
        <v>2609</v>
      </c>
    </row>
    <row r="3496" spans="3:9" x14ac:dyDescent="0.3">
      <c r="C3496" t="s">
        <v>2502</v>
      </c>
      <c r="G3496" t="s">
        <v>1277</v>
      </c>
      <c r="I3496" t="s">
        <v>2610</v>
      </c>
    </row>
    <row r="3497" spans="3:9" x14ac:dyDescent="0.3">
      <c r="C3497" t="s">
        <v>2503</v>
      </c>
      <c r="G3497" t="s">
        <v>1278</v>
      </c>
      <c r="I3497" t="s">
        <v>2611</v>
      </c>
    </row>
    <row r="3498" spans="3:9" x14ac:dyDescent="0.3">
      <c r="C3498" t="s">
        <v>2504</v>
      </c>
      <c r="G3498" t="s">
        <v>1279</v>
      </c>
      <c r="I3498" t="s">
        <v>2612</v>
      </c>
    </row>
    <row r="3499" spans="3:9" x14ac:dyDescent="0.3">
      <c r="C3499" t="s">
        <v>2505</v>
      </c>
      <c r="G3499" t="s">
        <v>1280</v>
      </c>
      <c r="I3499" t="s">
        <v>2613</v>
      </c>
    </row>
    <row r="3500" spans="3:9" x14ac:dyDescent="0.3">
      <c r="C3500" t="s">
        <v>2506</v>
      </c>
      <c r="G3500" t="s">
        <v>1281</v>
      </c>
      <c r="I3500" t="s">
        <v>2614</v>
      </c>
    </row>
    <row r="3501" spans="3:9" x14ac:dyDescent="0.3">
      <c r="C3501" t="s">
        <v>2507</v>
      </c>
      <c r="G3501" t="s">
        <v>1282</v>
      </c>
    </row>
    <row r="3502" spans="3:9" x14ac:dyDescent="0.3">
      <c r="C3502" t="s">
        <v>2508</v>
      </c>
      <c r="G3502" t="s">
        <v>1283</v>
      </c>
    </row>
    <row r="3503" spans="3:9" x14ac:dyDescent="0.3">
      <c r="C3503" t="s">
        <v>1009</v>
      </c>
      <c r="G3503" t="s">
        <v>1284</v>
      </c>
      <c r="I3503" t="s">
        <v>2615</v>
      </c>
    </row>
    <row r="3504" spans="3:9" x14ac:dyDescent="0.3">
      <c r="C3504" t="s">
        <v>2511</v>
      </c>
      <c r="G3504" t="s">
        <v>1285</v>
      </c>
      <c r="I3504" t="s">
        <v>1911</v>
      </c>
    </row>
    <row r="3505" spans="3:9" x14ac:dyDescent="0.3">
      <c r="C3505" t="s">
        <v>2512</v>
      </c>
      <c r="G3505" t="s">
        <v>1286</v>
      </c>
    </row>
    <row r="3506" spans="3:9" x14ac:dyDescent="0.3">
      <c r="C3506" t="s">
        <v>2513</v>
      </c>
      <c r="G3506" t="s">
        <v>1287</v>
      </c>
      <c r="I3506" t="s">
        <v>3278</v>
      </c>
    </row>
    <row r="3507" spans="3:9" x14ac:dyDescent="0.3">
      <c r="C3507" t="s">
        <v>2514</v>
      </c>
      <c r="G3507" t="s">
        <v>3986</v>
      </c>
    </row>
    <row r="3508" spans="3:9" x14ac:dyDescent="0.3">
      <c r="C3508" t="s">
        <v>286</v>
      </c>
      <c r="I3508" t="s">
        <v>2616</v>
      </c>
    </row>
    <row r="3509" spans="3:9" x14ac:dyDescent="0.3">
      <c r="C3509" t="s">
        <v>287</v>
      </c>
      <c r="I3509" t="s">
        <v>2617</v>
      </c>
    </row>
    <row r="3510" spans="3:9" x14ac:dyDescent="0.3">
      <c r="C3510" t="s">
        <v>2515</v>
      </c>
      <c r="G3510" t="s">
        <v>1691</v>
      </c>
      <c r="I3510" t="s">
        <v>2618</v>
      </c>
    </row>
    <row r="3511" spans="3:9" x14ac:dyDescent="0.3">
      <c r="C3511" t="s">
        <v>2516</v>
      </c>
      <c r="G3511" t="s">
        <v>1503</v>
      </c>
      <c r="I3511" t="s">
        <v>2619</v>
      </c>
    </row>
    <row r="3512" spans="3:9" x14ac:dyDescent="0.3">
      <c r="C3512" t="s">
        <v>2517</v>
      </c>
      <c r="I3512" t="s">
        <v>2620</v>
      </c>
    </row>
    <row r="3513" spans="3:9" x14ac:dyDescent="0.3">
      <c r="C3513" t="s">
        <v>2518</v>
      </c>
      <c r="G3513" t="s">
        <v>3226</v>
      </c>
      <c r="I3513" t="s">
        <v>2621</v>
      </c>
    </row>
    <row r="3514" spans="3:9" x14ac:dyDescent="0.3">
      <c r="C3514" t="s">
        <v>2519</v>
      </c>
      <c r="I3514" t="s">
        <v>2622</v>
      </c>
    </row>
    <row r="3515" spans="3:9" x14ac:dyDescent="0.3">
      <c r="C3515" t="s">
        <v>2520</v>
      </c>
      <c r="G3515" t="s">
        <v>1282</v>
      </c>
      <c r="I3515" t="e">
        <f>- a ciascuno degli amministratori disgiuntamente in caso di</f>
        <v>#NAME?</v>
      </c>
    </row>
    <row r="3516" spans="3:9" x14ac:dyDescent="0.3">
      <c r="C3516" t="s">
        <v>2521</v>
      </c>
      <c r="G3516" t="s">
        <v>1283</v>
      </c>
      <c r="I3516" t="s">
        <v>2623</v>
      </c>
    </row>
    <row r="3517" spans="3:9" x14ac:dyDescent="0.3">
      <c r="C3517" t="s">
        <v>2522</v>
      </c>
      <c r="G3517" t="s">
        <v>1284</v>
      </c>
      <c r="I3517" t="s">
        <v>2624</v>
      </c>
    </row>
    <row r="3518" spans="3:9" x14ac:dyDescent="0.3">
      <c r="C3518" t="s">
        <v>2523</v>
      </c>
      <c r="G3518" t="s">
        <v>1285</v>
      </c>
      <c r="I3518" t="s">
        <v>2625</v>
      </c>
    </row>
    <row r="3519" spans="3:9" x14ac:dyDescent="0.3">
      <c r="C3519" t="s">
        <v>2524</v>
      </c>
      <c r="G3519" t="s">
        <v>1286</v>
      </c>
      <c r="I3519" t="s">
        <v>2626</v>
      </c>
    </row>
    <row r="3520" spans="3:9" x14ac:dyDescent="0.3">
      <c r="C3520">
        <v>12</v>
      </c>
      <c r="G3520" t="s">
        <v>1287</v>
      </c>
      <c r="I3520" t="s">
        <v>2627</v>
      </c>
    </row>
    <row r="3521" spans="3:9" x14ac:dyDescent="0.3">
      <c r="C3521" t="s">
        <v>89</v>
      </c>
      <c r="G3521" t="s">
        <v>1288</v>
      </c>
    </row>
    <row r="3522" spans="3:9" x14ac:dyDescent="0.3">
      <c r="C3522" t="s">
        <v>2525</v>
      </c>
      <c r="G3522" t="s">
        <v>1289</v>
      </c>
    </row>
    <row r="3523" spans="3:9" x14ac:dyDescent="0.3">
      <c r="G3523" t="s">
        <v>1292</v>
      </c>
      <c r="I3523" t="s">
        <v>2628</v>
      </c>
    </row>
    <row r="3524" spans="3:9" x14ac:dyDescent="0.3">
      <c r="G3524" t="s">
        <v>1293</v>
      </c>
      <c r="I3524" t="s">
        <v>1911</v>
      </c>
    </row>
    <row r="3525" spans="3:9" x14ac:dyDescent="0.3">
      <c r="C3525" t="s">
        <v>1897</v>
      </c>
      <c r="G3525" t="s">
        <v>1294</v>
      </c>
    </row>
    <row r="3526" spans="3:9" x14ac:dyDescent="0.3">
      <c r="C3526" t="s">
        <v>1911</v>
      </c>
      <c r="G3526" t="s">
        <v>1295</v>
      </c>
      <c r="I3526" t="s">
        <v>3279</v>
      </c>
    </row>
    <row r="3527" spans="3:9" x14ac:dyDescent="0.3">
      <c r="G3527" t="s">
        <v>1296</v>
      </c>
    </row>
    <row r="3528" spans="3:9" x14ac:dyDescent="0.3">
      <c r="C3528" t="s">
        <v>3242</v>
      </c>
      <c r="G3528" t="s">
        <v>1287</v>
      </c>
      <c r="I3528" t="s">
        <v>2629</v>
      </c>
    </row>
    <row r="3529" spans="3:9" x14ac:dyDescent="0.3">
      <c r="G3529" t="s">
        <v>1297</v>
      </c>
      <c r="I3529" t="s">
        <v>2630</v>
      </c>
    </row>
    <row r="3530" spans="3:9" x14ac:dyDescent="0.3">
      <c r="C3530" t="s">
        <v>2519</v>
      </c>
      <c r="G3530" t="s">
        <v>1289</v>
      </c>
      <c r="I3530">
        <v>14</v>
      </c>
    </row>
    <row r="3531" spans="3:9" x14ac:dyDescent="0.3">
      <c r="C3531" t="s">
        <v>2520</v>
      </c>
      <c r="G3531" t="s">
        <v>1298</v>
      </c>
      <c r="I3531" t="s">
        <v>89</v>
      </c>
    </row>
    <row r="3532" spans="3:9" x14ac:dyDescent="0.3">
      <c r="C3532" t="s">
        <v>2521</v>
      </c>
      <c r="G3532" t="s">
        <v>1299</v>
      </c>
      <c r="I3532" t="s">
        <v>2631</v>
      </c>
    </row>
    <row r="3533" spans="3:9" x14ac:dyDescent="0.3">
      <c r="C3533" t="s">
        <v>2522</v>
      </c>
      <c r="G3533" t="s">
        <v>1287</v>
      </c>
      <c r="I3533" t="s">
        <v>2632</v>
      </c>
    </row>
    <row r="3534" spans="3:9" x14ac:dyDescent="0.3">
      <c r="C3534" t="s">
        <v>2523</v>
      </c>
      <c r="G3534" t="s">
        <v>1297</v>
      </c>
      <c r="I3534" t="s">
        <v>2633</v>
      </c>
    </row>
    <row r="3535" spans="3:9" x14ac:dyDescent="0.3">
      <c r="C3535" t="s">
        <v>2524</v>
      </c>
      <c r="G3535" t="s">
        <v>1289</v>
      </c>
      <c r="I3535" t="s">
        <v>2634</v>
      </c>
    </row>
    <row r="3536" spans="3:9" x14ac:dyDescent="0.3">
      <c r="C3536">
        <v>12</v>
      </c>
      <c r="G3536" t="s">
        <v>1298</v>
      </c>
      <c r="I3536" t="s">
        <v>2635</v>
      </c>
    </row>
    <row r="3537" spans="3:9" x14ac:dyDescent="0.3">
      <c r="C3537" t="s">
        <v>89</v>
      </c>
      <c r="G3537" t="s">
        <v>1294</v>
      </c>
      <c r="I3537" t="s">
        <v>2636</v>
      </c>
    </row>
    <row r="3538" spans="3:9" x14ac:dyDescent="0.3">
      <c r="C3538" t="s">
        <v>2525</v>
      </c>
      <c r="G3538" t="s">
        <v>1295</v>
      </c>
      <c r="I3538" t="s">
        <v>2637</v>
      </c>
    </row>
    <row r="3539" spans="3:9" x14ac:dyDescent="0.3">
      <c r="C3539" t="s">
        <v>2526</v>
      </c>
      <c r="G3539" t="s">
        <v>1300</v>
      </c>
      <c r="I3539" t="s">
        <v>2638</v>
      </c>
    </row>
    <row r="3540" spans="3:9" x14ac:dyDescent="0.3">
      <c r="C3540" t="s">
        <v>2527</v>
      </c>
      <c r="G3540" t="s">
        <v>1287</v>
      </c>
      <c r="I3540" t="s">
        <v>2639</v>
      </c>
    </row>
    <row r="3541" spans="3:9" x14ac:dyDescent="0.3">
      <c r="C3541" t="s">
        <v>2528</v>
      </c>
      <c r="G3541" t="s">
        <v>1297</v>
      </c>
      <c r="I3541" t="s">
        <v>2640</v>
      </c>
    </row>
    <row r="3542" spans="3:9" x14ac:dyDescent="0.3">
      <c r="C3542" t="s">
        <v>3451</v>
      </c>
      <c r="G3542" t="s">
        <v>1289</v>
      </c>
      <c r="I3542" t="s">
        <v>2641</v>
      </c>
    </row>
    <row r="3543" spans="3:9" x14ac:dyDescent="0.3">
      <c r="C3543" t="s">
        <v>2531</v>
      </c>
      <c r="G3543" t="s">
        <v>1298</v>
      </c>
    </row>
    <row r="3544" spans="3:9" x14ac:dyDescent="0.3">
      <c r="C3544" t="s">
        <v>2532</v>
      </c>
      <c r="G3544" t="s">
        <v>1294</v>
      </c>
    </row>
    <row r="3545" spans="3:9" x14ac:dyDescent="0.3">
      <c r="C3545" t="s">
        <v>2533</v>
      </c>
      <c r="G3545" t="s">
        <v>1295</v>
      </c>
      <c r="I3545" t="s">
        <v>2642</v>
      </c>
    </row>
    <row r="3546" spans="3:9" x14ac:dyDescent="0.3">
      <c r="C3546" t="s">
        <v>2534</v>
      </c>
      <c r="G3546" t="s">
        <v>1303</v>
      </c>
      <c r="I3546" t="s">
        <v>1911</v>
      </c>
    </row>
    <row r="3547" spans="3:9" x14ac:dyDescent="0.3">
      <c r="C3547" t="s">
        <v>2535</v>
      </c>
      <c r="G3547" t="s">
        <v>3987</v>
      </c>
    </row>
    <row r="3548" spans="3:9" x14ac:dyDescent="0.3">
      <c r="C3548" t="s">
        <v>2536</v>
      </c>
      <c r="I3548" t="s">
        <v>3280</v>
      </c>
    </row>
    <row r="3549" spans="3:9" x14ac:dyDescent="0.3">
      <c r="C3549" t="s">
        <v>2537</v>
      </c>
    </row>
    <row r="3550" spans="3:9" x14ac:dyDescent="0.3">
      <c r="C3550" t="s">
        <v>2538</v>
      </c>
      <c r="G3550" t="s">
        <v>1708</v>
      </c>
      <c r="I3550" t="s">
        <v>2643</v>
      </c>
    </row>
    <row r="3551" spans="3:9" x14ac:dyDescent="0.3">
      <c r="C3551" t="s">
        <v>2539</v>
      </c>
      <c r="G3551" t="s">
        <v>1503</v>
      </c>
      <c r="I3551" t="s">
        <v>2644</v>
      </c>
    </row>
    <row r="3552" spans="3:9" x14ac:dyDescent="0.3">
      <c r="C3552" t="s">
        <v>2540</v>
      </c>
      <c r="I3552" t="s">
        <v>2645</v>
      </c>
    </row>
    <row r="3553" spans="3:9" x14ac:dyDescent="0.3">
      <c r="C3553" t="s">
        <v>2541</v>
      </c>
      <c r="G3553" t="s">
        <v>3227</v>
      </c>
      <c r="I3553" t="s">
        <v>2646</v>
      </c>
    </row>
    <row r="3554" spans="3:9" x14ac:dyDescent="0.3">
      <c r="C3554" t="s">
        <v>2542</v>
      </c>
      <c r="I3554" t="s">
        <v>2647</v>
      </c>
    </row>
    <row r="3555" spans="3:9" x14ac:dyDescent="0.3">
      <c r="C3555" t="s">
        <v>2543</v>
      </c>
      <c r="G3555" t="s">
        <v>1289</v>
      </c>
    </row>
    <row r="3556" spans="3:9" x14ac:dyDescent="0.3">
      <c r="C3556" t="s">
        <v>3452</v>
      </c>
      <c r="G3556" t="s">
        <v>1298</v>
      </c>
    </row>
    <row r="3557" spans="3:9" x14ac:dyDescent="0.3">
      <c r="C3557" t="s">
        <v>2546</v>
      </c>
      <c r="G3557" t="s">
        <v>1294</v>
      </c>
      <c r="I3557" t="s">
        <v>2648</v>
      </c>
    </row>
    <row r="3558" spans="3:9" x14ac:dyDescent="0.3">
      <c r="C3558" t="s">
        <v>2547</v>
      </c>
      <c r="G3558" t="s">
        <v>1295</v>
      </c>
      <c r="I3558" t="s">
        <v>1911</v>
      </c>
    </row>
    <row r="3559" spans="3:9" x14ac:dyDescent="0.3">
      <c r="C3559" t="s">
        <v>2548</v>
      </c>
      <c r="G3559" t="s">
        <v>1303</v>
      </c>
    </row>
    <row r="3560" spans="3:9" x14ac:dyDescent="0.3">
      <c r="C3560" t="s">
        <v>2549</v>
      </c>
      <c r="G3560" t="s">
        <v>1304</v>
      </c>
      <c r="I3560" t="s">
        <v>3281</v>
      </c>
    </row>
    <row r="3561" spans="3:9" x14ac:dyDescent="0.3">
      <c r="C3561" t="s">
        <v>2550</v>
      </c>
      <c r="G3561" t="s">
        <v>1305</v>
      </c>
    </row>
    <row r="3562" spans="3:9" x14ac:dyDescent="0.3">
      <c r="C3562" t="s">
        <v>2551</v>
      </c>
      <c r="G3562" t="s">
        <v>1306</v>
      </c>
      <c r="I3562" t="s">
        <v>2649</v>
      </c>
    </row>
    <row r="3563" spans="3:9" x14ac:dyDescent="0.3">
      <c r="C3563" t="s">
        <v>2552</v>
      </c>
      <c r="G3563" t="s">
        <v>1307</v>
      </c>
      <c r="I3563" t="s">
        <v>2650</v>
      </c>
    </row>
    <row r="3564" spans="3:9" x14ac:dyDescent="0.3">
      <c r="C3564" t="s">
        <v>2553</v>
      </c>
      <c r="G3564" t="s">
        <v>1308</v>
      </c>
      <c r="I3564" t="s">
        <v>2651</v>
      </c>
    </row>
    <row r="3565" spans="3:9" x14ac:dyDescent="0.3">
      <c r="G3565" t="s">
        <v>1309</v>
      </c>
      <c r="I3565" t="s">
        <v>2652</v>
      </c>
    </row>
    <row r="3566" spans="3:9" x14ac:dyDescent="0.3">
      <c r="G3566" t="s">
        <v>1310</v>
      </c>
      <c r="I3566" t="s">
        <v>2653</v>
      </c>
    </row>
    <row r="3567" spans="3:9" x14ac:dyDescent="0.3">
      <c r="C3567" t="s">
        <v>1910</v>
      </c>
      <c r="G3567" t="s">
        <v>1311</v>
      </c>
      <c r="I3567" t="s">
        <v>2654</v>
      </c>
    </row>
    <row r="3568" spans="3:9" x14ac:dyDescent="0.3">
      <c r="C3568" t="s">
        <v>1911</v>
      </c>
      <c r="G3568" t="s">
        <v>1312</v>
      </c>
      <c r="I3568" t="s">
        <v>2655</v>
      </c>
    </row>
    <row r="3569" spans="3:9" x14ac:dyDescent="0.3">
      <c r="G3569" t="s">
        <v>1313</v>
      </c>
      <c r="I3569" t="s">
        <v>2656</v>
      </c>
    </row>
    <row r="3570" spans="3:9" x14ac:dyDescent="0.3">
      <c r="C3570" t="s">
        <v>3243</v>
      </c>
      <c r="G3570" t="s">
        <v>1314</v>
      </c>
      <c r="I3570" t="s">
        <v>2657</v>
      </c>
    </row>
    <row r="3571" spans="3:9" x14ac:dyDescent="0.3">
      <c r="G3571" t="s">
        <v>1315</v>
      </c>
      <c r="I3571" t="s">
        <v>2658</v>
      </c>
    </row>
    <row r="3572" spans="3:9" x14ac:dyDescent="0.3">
      <c r="C3572" t="s">
        <v>3452</v>
      </c>
      <c r="G3572" t="s">
        <v>1316</v>
      </c>
      <c r="I3572" t="s">
        <v>2659</v>
      </c>
    </row>
    <row r="3573" spans="3:9" x14ac:dyDescent="0.3">
      <c r="C3573" t="s">
        <v>2546</v>
      </c>
      <c r="G3573" t="s">
        <v>1317</v>
      </c>
      <c r="I3573" t="s">
        <v>2660</v>
      </c>
    </row>
    <row r="3574" spans="3:9" x14ac:dyDescent="0.3">
      <c r="C3574" t="s">
        <v>2547</v>
      </c>
      <c r="G3574" t="s">
        <v>1318</v>
      </c>
      <c r="I3574" t="s">
        <v>2661</v>
      </c>
    </row>
    <row r="3575" spans="3:9" x14ac:dyDescent="0.3">
      <c r="C3575" t="s">
        <v>2548</v>
      </c>
      <c r="G3575" t="s">
        <v>1319</v>
      </c>
      <c r="I3575" t="s">
        <v>2662</v>
      </c>
    </row>
    <row r="3576" spans="3:9" x14ac:dyDescent="0.3">
      <c r="C3576" t="s">
        <v>2549</v>
      </c>
      <c r="G3576" t="s">
        <v>1320</v>
      </c>
      <c r="I3576" t="s">
        <v>2663</v>
      </c>
    </row>
    <row r="3577" spans="3:9" x14ac:dyDescent="0.3">
      <c r="C3577" t="s">
        <v>2550</v>
      </c>
      <c r="G3577" t="s">
        <v>89</v>
      </c>
      <c r="I3577" t="s">
        <v>2664</v>
      </c>
    </row>
    <row r="3578" spans="3:9" x14ac:dyDescent="0.3">
      <c r="C3578" t="s">
        <v>2551</v>
      </c>
      <c r="G3578" t="s">
        <v>1321</v>
      </c>
      <c r="I3578" t="s">
        <v>2665</v>
      </c>
    </row>
    <row r="3579" spans="3:9" x14ac:dyDescent="0.3">
      <c r="C3579" t="s">
        <v>2552</v>
      </c>
      <c r="G3579" t="s">
        <v>1324</v>
      </c>
      <c r="I3579" t="s">
        <v>2666</v>
      </c>
    </row>
    <row r="3580" spans="3:9" x14ac:dyDescent="0.3">
      <c r="C3580" t="s">
        <v>2553</v>
      </c>
      <c r="G3580" t="s">
        <v>1325</v>
      </c>
      <c r="I3580" t="s">
        <v>2667</v>
      </c>
    </row>
    <row r="3581" spans="3:9" x14ac:dyDescent="0.3">
      <c r="C3581" t="s">
        <v>2554</v>
      </c>
      <c r="G3581" t="s">
        <v>1326</v>
      </c>
      <c r="I3581" t="s">
        <v>2668</v>
      </c>
    </row>
    <row r="3582" spans="3:9" x14ac:dyDescent="0.3">
      <c r="C3582" t="s">
        <v>2555</v>
      </c>
      <c r="G3582" t="s">
        <v>1327</v>
      </c>
      <c r="I3582" t="s">
        <v>2669</v>
      </c>
    </row>
    <row r="3583" spans="3:9" x14ac:dyDescent="0.3">
      <c r="C3583" t="s">
        <v>3453</v>
      </c>
      <c r="G3583" t="s">
        <v>1328</v>
      </c>
      <c r="I3583" t="s">
        <v>2670</v>
      </c>
    </row>
    <row r="3584" spans="3:9" x14ac:dyDescent="0.3">
      <c r="C3584" t="s">
        <v>2558</v>
      </c>
      <c r="G3584" t="s">
        <v>89</v>
      </c>
      <c r="I3584" t="s">
        <v>2671</v>
      </c>
    </row>
    <row r="3585" spans="3:9" x14ac:dyDescent="0.3">
      <c r="C3585" t="s">
        <v>2559</v>
      </c>
      <c r="G3585" t="s">
        <v>1329</v>
      </c>
      <c r="I3585" t="s">
        <v>2672</v>
      </c>
    </row>
    <row r="3586" spans="3:9" x14ac:dyDescent="0.3">
      <c r="C3586" t="s">
        <v>2560</v>
      </c>
      <c r="G3586" t="s">
        <v>1330</v>
      </c>
      <c r="I3586" t="s">
        <v>2673</v>
      </c>
    </row>
    <row r="3587" spans="3:9" x14ac:dyDescent="0.3">
      <c r="C3587" t="s">
        <v>2561</v>
      </c>
      <c r="G3587" t="s">
        <v>3988</v>
      </c>
    </row>
    <row r="3588" spans="3:9" x14ac:dyDescent="0.3">
      <c r="C3588" t="s">
        <v>2562</v>
      </c>
    </row>
    <row r="3589" spans="3:9" x14ac:dyDescent="0.3">
      <c r="C3589" t="s">
        <v>2563</v>
      </c>
      <c r="I3589" t="s">
        <v>2674</v>
      </c>
    </row>
    <row r="3590" spans="3:9" x14ac:dyDescent="0.3">
      <c r="C3590" t="s">
        <v>2564</v>
      </c>
      <c r="G3590" t="s">
        <v>1711</v>
      </c>
      <c r="I3590" t="s">
        <v>1911</v>
      </c>
    </row>
    <row r="3591" spans="3:9" x14ac:dyDescent="0.3">
      <c r="C3591" t="s">
        <v>2565</v>
      </c>
      <c r="G3591" t="s">
        <v>1503</v>
      </c>
    </row>
    <row r="3592" spans="3:9" x14ac:dyDescent="0.3">
      <c r="C3592" t="s">
        <v>2566</v>
      </c>
      <c r="I3592" t="s">
        <v>3282</v>
      </c>
    </row>
    <row r="3593" spans="3:9" x14ac:dyDescent="0.3">
      <c r="C3593" t="e">
        <f>- lettera raccomandata o telegramma spediti al domicilio di</f>
        <v>#NAME?</v>
      </c>
      <c r="G3593" t="s">
        <v>3228</v>
      </c>
    </row>
    <row r="3594" spans="3:9" x14ac:dyDescent="0.3">
      <c r="C3594" t="s">
        <v>2567</v>
      </c>
      <c r="I3594" t="s">
        <v>2675</v>
      </c>
    </row>
    <row r="3595" spans="3:9" x14ac:dyDescent="0.3">
      <c r="C3595" t="s">
        <v>2568</v>
      </c>
      <c r="G3595" t="s">
        <v>1326</v>
      </c>
      <c r="I3595" t="s">
        <v>2676</v>
      </c>
    </row>
    <row r="3596" spans="3:9" x14ac:dyDescent="0.3">
      <c r="C3596" t="s">
        <v>2569</v>
      </c>
      <c r="G3596" t="s">
        <v>1327</v>
      </c>
      <c r="I3596" t="s">
        <v>2677</v>
      </c>
    </row>
    <row r="3597" spans="3:9" x14ac:dyDescent="0.3">
      <c r="C3597" t="s">
        <v>2570</v>
      </c>
      <c r="G3597" t="s">
        <v>1328</v>
      </c>
      <c r="I3597" t="s">
        <v>2678</v>
      </c>
    </row>
    <row r="3598" spans="3:9" x14ac:dyDescent="0.3">
      <c r="C3598" t="s">
        <v>2571</v>
      </c>
      <c r="G3598" t="s">
        <v>89</v>
      </c>
    </row>
    <row r="3599" spans="3:9" x14ac:dyDescent="0.3">
      <c r="C3599" t="s">
        <v>2572</v>
      </c>
      <c r="G3599" t="s">
        <v>1329</v>
      </c>
    </row>
    <row r="3600" spans="3:9" x14ac:dyDescent="0.3">
      <c r="C3600" t="s">
        <v>2573</v>
      </c>
      <c r="G3600" t="s">
        <v>1330</v>
      </c>
      <c r="I3600" t="s">
        <v>2679</v>
      </c>
    </row>
    <row r="3601" spans="3:9" x14ac:dyDescent="0.3">
      <c r="C3601" t="s">
        <v>2574</v>
      </c>
      <c r="G3601" t="s">
        <v>1331</v>
      </c>
      <c r="I3601" t="s">
        <v>1911</v>
      </c>
    </row>
    <row r="3602" spans="3:9" x14ac:dyDescent="0.3">
      <c r="C3602" t="s">
        <v>2575</v>
      </c>
      <c r="G3602" t="s">
        <v>1332</v>
      </c>
    </row>
    <row r="3603" spans="3:9" x14ac:dyDescent="0.3">
      <c r="C3603" t="s">
        <v>2576</v>
      </c>
      <c r="G3603" t="s">
        <v>2784</v>
      </c>
      <c r="I3603" t="s">
        <v>3283</v>
      </c>
    </row>
    <row r="3604" spans="3:9" x14ac:dyDescent="0.3">
      <c r="C3604">
        <v>13</v>
      </c>
    </row>
    <row r="3605" spans="3:9" x14ac:dyDescent="0.3">
      <c r="C3605" t="s">
        <v>725</v>
      </c>
      <c r="I3605" t="s">
        <v>2680</v>
      </c>
    </row>
    <row r="3606" spans="3:9" x14ac:dyDescent="0.3">
      <c r="I3606" t="s">
        <v>2681</v>
      </c>
    </row>
    <row r="3607" spans="3:9" x14ac:dyDescent="0.3">
      <c r="I3607" t="s">
        <v>2682</v>
      </c>
    </row>
    <row r="3608" spans="3:9" x14ac:dyDescent="0.3">
      <c r="C3608" t="s">
        <v>1916</v>
      </c>
      <c r="I3608" t="s">
        <v>2683</v>
      </c>
    </row>
    <row r="3609" spans="3:9" x14ac:dyDescent="0.3">
      <c r="C3609" t="s">
        <v>1911</v>
      </c>
    </row>
    <row r="3611" spans="3:9" x14ac:dyDescent="0.3">
      <c r="C3611" t="s">
        <v>3244</v>
      </c>
      <c r="I3611" t="s">
        <v>2684</v>
      </c>
    </row>
    <row r="3612" spans="3:9" x14ac:dyDescent="0.3">
      <c r="I3612" t="s">
        <v>1911</v>
      </c>
    </row>
    <row r="3613" spans="3:9" x14ac:dyDescent="0.3">
      <c r="C3613" t="s">
        <v>2571</v>
      </c>
    </row>
    <row r="3614" spans="3:9" x14ac:dyDescent="0.3">
      <c r="C3614" t="s">
        <v>2572</v>
      </c>
      <c r="I3614" t="s">
        <v>3284</v>
      </c>
    </row>
    <row r="3615" spans="3:9" x14ac:dyDescent="0.3">
      <c r="C3615" t="s">
        <v>2573</v>
      </c>
    </row>
    <row r="3616" spans="3:9" x14ac:dyDescent="0.3">
      <c r="C3616" t="s">
        <v>2574</v>
      </c>
      <c r="I3616" t="s">
        <v>2685</v>
      </c>
    </row>
    <row r="3617" spans="3:9" x14ac:dyDescent="0.3">
      <c r="C3617" t="s">
        <v>2575</v>
      </c>
      <c r="I3617">
        <v>15</v>
      </c>
    </row>
    <row r="3618" spans="3:9" x14ac:dyDescent="0.3">
      <c r="C3618" t="s">
        <v>2576</v>
      </c>
      <c r="I3618" t="s">
        <v>89</v>
      </c>
    </row>
    <row r="3619" spans="3:9" x14ac:dyDescent="0.3">
      <c r="C3619">
        <v>13</v>
      </c>
      <c r="I3619" t="s">
        <v>2686</v>
      </c>
    </row>
    <row r="3620" spans="3:9" x14ac:dyDescent="0.3">
      <c r="C3620" t="s">
        <v>89</v>
      </c>
      <c r="I3620" t="s">
        <v>2687</v>
      </c>
    </row>
    <row r="3621" spans="3:9" x14ac:dyDescent="0.3">
      <c r="C3621" t="s">
        <v>2577</v>
      </c>
      <c r="I3621" t="s">
        <v>2688</v>
      </c>
    </row>
    <row r="3622" spans="3:9" x14ac:dyDescent="0.3">
      <c r="C3622" t="s">
        <v>2578</v>
      </c>
      <c r="I3622" t="s">
        <v>2689</v>
      </c>
    </row>
    <row r="3623" spans="3:9" x14ac:dyDescent="0.3">
      <c r="C3623" t="s">
        <v>2579</v>
      </c>
      <c r="I3623" t="s">
        <v>2690</v>
      </c>
    </row>
    <row r="3624" spans="3:9" x14ac:dyDescent="0.3">
      <c r="C3624" t="s">
        <v>2580</v>
      </c>
      <c r="I3624" t="s">
        <v>2691</v>
      </c>
    </row>
    <row r="3625" spans="3:9" x14ac:dyDescent="0.3">
      <c r="C3625" t="s">
        <v>2581</v>
      </c>
      <c r="I3625" t="s">
        <v>2692</v>
      </c>
    </row>
    <row r="3626" spans="3:9" x14ac:dyDescent="0.3">
      <c r="C3626" t="s">
        <v>2582</v>
      </c>
      <c r="I3626" t="s">
        <v>2693</v>
      </c>
    </row>
    <row r="3627" spans="3:9" x14ac:dyDescent="0.3">
      <c r="C3627" t="s">
        <v>2583</v>
      </c>
      <c r="I3627" t="s">
        <v>2694</v>
      </c>
    </row>
    <row r="3628" spans="3:9" x14ac:dyDescent="0.3">
      <c r="C3628" t="s">
        <v>2584</v>
      </c>
      <c r="I3628" t="s">
        <v>2695</v>
      </c>
    </row>
    <row r="3629" spans="3:9" x14ac:dyDescent="0.3">
      <c r="C3629" t="s">
        <v>2585</v>
      </c>
      <c r="I3629" t="s">
        <v>2696</v>
      </c>
    </row>
    <row r="3630" spans="3:9" x14ac:dyDescent="0.3">
      <c r="C3630" t="s">
        <v>2586</v>
      </c>
      <c r="I3630" t="s">
        <v>2697</v>
      </c>
    </row>
    <row r="3631" spans="3:9" x14ac:dyDescent="0.3">
      <c r="C3631" t="s">
        <v>2587</v>
      </c>
      <c r="I3631" t="s">
        <v>2698</v>
      </c>
    </row>
    <row r="3632" spans="3:9" x14ac:dyDescent="0.3">
      <c r="C3632" t="s">
        <v>2590</v>
      </c>
    </row>
    <row r="3633" spans="3:9" x14ac:dyDescent="0.3">
      <c r="C3633" t="s">
        <v>2591</v>
      </c>
    </row>
    <row r="3634" spans="3:9" x14ac:dyDescent="0.3">
      <c r="C3634" t="s">
        <v>2592</v>
      </c>
      <c r="I3634" t="s">
        <v>2699</v>
      </c>
    </row>
    <row r="3635" spans="3:9" x14ac:dyDescent="0.3">
      <c r="C3635" t="s">
        <v>2593</v>
      </c>
      <c r="I3635" t="s">
        <v>1911</v>
      </c>
    </row>
    <row r="3636" spans="3:9" x14ac:dyDescent="0.3">
      <c r="C3636" t="s">
        <v>2594</v>
      </c>
    </row>
    <row r="3637" spans="3:9" x14ac:dyDescent="0.3">
      <c r="C3637" t="s">
        <v>2595</v>
      </c>
      <c r="I3637" t="s">
        <v>3285</v>
      </c>
    </row>
    <row r="3638" spans="3:9" x14ac:dyDescent="0.3">
      <c r="C3638" t="s">
        <v>2596</v>
      </c>
    </row>
    <row r="3639" spans="3:9" x14ac:dyDescent="0.3">
      <c r="C3639" t="s">
        <v>2597</v>
      </c>
      <c r="I3639" t="s">
        <v>2700</v>
      </c>
    </row>
    <row r="3640" spans="3:9" x14ac:dyDescent="0.3">
      <c r="C3640" t="s">
        <v>2598</v>
      </c>
      <c r="I3640" t="s">
        <v>2701</v>
      </c>
    </row>
    <row r="3641" spans="3:9" x14ac:dyDescent="0.3">
      <c r="C3641" t="s">
        <v>2599</v>
      </c>
      <c r="I3641" t="s">
        <v>2702</v>
      </c>
    </row>
    <row r="3642" spans="3:9" x14ac:dyDescent="0.3">
      <c r="C3642" t="s">
        <v>2600</v>
      </c>
      <c r="I3642" t="s">
        <v>2703</v>
      </c>
    </row>
    <row r="3643" spans="3:9" x14ac:dyDescent="0.3">
      <c r="C3643" t="s">
        <v>2601</v>
      </c>
      <c r="I3643" t="s">
        <v>2704</v>
      </c>
    </row>
    <row r="3644" spans="3:9" x14ac:dyDescent="0.3">
      <c r="C3644" t="s">
        <v>2602</v>
      </c>
      <c r="I3644" t="s">
        <v>2705</v>
      </c>
    </row>
    <row r="3645" spans="3:9" x14ac:dyDescent="0.3">
      <c r="C3645" t="s">
        <v>2603</v>
      </c>
      <c r="I3645" t="s">
        <v>2706</v>
      </c>
    </row>
    <row r="3646" spans="3:9" x14ac:dyDescent="0.3">
      <c r="C3646" t="s">
        <v>2604</v>
      </c>
      <c r="I3646" t="s">
        <v>2707</v>
      </c>
    </row>
    <row r="3647" spans="3:9" x14ac:dyDescent="0.3">
      <c r="C3647" t="s">
        <v>3454</v>
      </c>
    </row>
    <row r="3648" spans="3:9" x14ac:dyDescent="0.3">
      <c r="C3648" t="s">
        <v>2607</v>
      </c>
    </row>
    <row r="3649" spans="3:9" x14ac:dyDescent="0.3">
      <c r="C3649" t="s">
        <v>2608</v>
      </c>
      <c r="I3649" t="s">
        <v>2708</v>
      </c>
    </row>
    <row r="3650" spans="3:9" x14ac:dyDescent="0.3">
      <c r="I3650" t="s">
        <v>1911</v>
      </c>
    </row>
    <row r="3652" spans="3:9" x14ac:dyDescent="0.3">
      <c r="C3652" t="s">
        <v>1922</v>
      </c>
      <c r="I3652" t="s">
        <v>3286</v>
      </c>
    </row>
    <row r="3653" spans="3:9" x14ac:dyDescent="0.3">
      <c r="C3653" t="s">
        <v>1911</v>
      </c>
    </row>
    <row r="3654" spans="3:9" x14ac:dyDescent="0.3">
      <c r="I3654" t="s">
        <v>2709</v>
      </c>
    </row>
    <row r="3655" spans="3:9" x14ac:dyDescent="0.3">
      <c r="C3655" t="s">
        <v>3245</v>
      </c>
      <c r="I3655" t="s">
        <v>2710</v>
      </c>
    </row>
    <row r="3656" spans="3:9" x14ac:dyDescent="0.3">
      <c r="I3656" t="s">
        <v>2711</v>
      </c>
    </row>
    <row r="3657" spans="3:9" x14ac:dyDescent="0.3">
      <c r="C3657" t="s">
        <v>2597</v>
      </c>
      <c r="I3657" t="s">
        <v>2712</v>
      </c>
    </row>
    <row r="3658" spans="3:9" x14ac:dyDescent="0.3">
      <c r="C3658" t="s">
        <v>2598</v>
      </c>
      <c r="I3658" t="s">
        <v>2713</v>
      </c>
    </row>
    <row r="3659" spans="3:9" x14ac:dyDescent="0.3">
      <c r="C3659" t="s">
        <v>2599</v>
      </c>
      <c r="I3659" t="s">
        <v>2714</v>
      </c>
    </row>
    <row r="3660" spans="3:9" x14ac:dyDescent="0.3">
      <c r="C3660" t="s">
        <v>2600</v>
      </c>
      <c r="I3660" t="s">
        <v>2715</v>
      </c>
    </row>
    <row r="3661" spans="3:9" x14ac:dyDescent="0.3">
      <c r="C3661" t="s">
        <v>2601</v>
      </c>
      <c r="I3661" t="s">
        <v>2716</v>
      </c>
    </row>
    <row r="3662" spans="3:9" x14ac:dyDescent="0.3">
      <c r="C3662" t="s">
        <v>2602</v>
      </c>
      <c r="I3662" t="s">
        <v>2717</v>
      </c>
    </row>
    <row r="3663" spans="3:9" x14ac:dyDescent="0.3">
      <c r="C3663" t="s">
        <v>2603</v>
      </c>
      <c r="I3663" t="s">
        <v>2718</v>
      </c>
    </row>
    <row r="3664" spans="3:9" x14ac:dyDescent="0.3">
      <c r="C3664" t="s">
        <v>2604</v>
      </c>
      <c r="I3664" t="e">
        <f>- il numero dei liquidatori e le regole di funzionamento del</f>
        <v>#NAME?</v>
      </c>
    </row>
    <row r="3665" spans="3:9" x14ac:dyDescent="0.3">
      <c r="C3665" t="s">
        <v>3454</v>
      </c>
      <c r="I3665" t="s">
        <v>2719</v>
      </c>
    </row>
    <row r="3666" spans="3:9" x14ac:dyDescent="0.3">
      <c r="C3666" t="s">
        <v>2607</v>
      </c>
      <c r="I3666" t="s">
        <v>2720</v>
      </c>
    </row>
    <row r="3667" spans="3:9" x14ac:dyDescent="0.3">
      <c r="C3667" t="s">
        <v>2608</v>
      </c>
      <c r="I3667" t="s">
        <v>2721</v>
      </c>
    </row>
    <row r="3668" spans="3:9" x14ac:dyDescent="0.3">
      <c r="C3668" t="s">
        <v>2609</v>
      </c>
      <c r="I3668" t="s">
        <v>2722</v>
      </c>
    </row>
    <row r="3669" spans="3:9" x14ac:dyDescent="0.3">
      <c r="C3669" t="s">
        <v>2610</v>
      </c>
      <c r="I3669" t="e">
        <f>- i poteri dei liquidatori.</f>
        <v>#NAME?</v>
      </c>
    </row>
    <row r="3670" spans="3:9" x14ac:dyDescent="0.3">
      <c r="C3670" t="s">
        <v>2611</v>
      </c>
      <c r="I3670" t="s">
        <v>2723</v>
      </c>
    </row>
    <row r="3671" spans="3:9" x14ac:dyDescent="0.3">
      <c r="C3671" t="s">
        <v>2612</v>
      </c>
      <c r="I3671" t="s">
        <v>2724</v>
      </c>
    </row>
    <row r="3672" spans="3:9" x14ac:dyDescent="0.3">
      <c r="C3672" t="s">
        <v>2613</v>
      </c>
      <c r="I3672" t="s">
        <v>2725</v>
      </c>
    </row>
    <row r="3673" spans="3:9" x14ac:dyDescent="0.3">
      <c r="C3673" t="s">
        <v>3455</v>
      </c>
    </row>
    <row r="3674" spans="3:9" x14ac:dyDescent="0.3">
      <c r="C3674" t="s">
        <v>2616</v>
      </c>
    </row>
    <row r="3675" spans="3:9" x14ac:dyDescent="0.3">
      <c r="C3675" t="s">
        <v>2617</v>
      </c>
      <c r="I3675" t="s">
        <v>2726</v>
      </c>
    </row>
    <row r="3676" spans="3:9" x14ac:dyDescent="0.3">
      <c r="C3676" t="s">
        <v>2618</v>
      </c>
      <c r="I3676" t="s">
        <v>1911</v>
      </c>
    </row>
    <row r="3677" spans="3:9" x14ac:dyDescent="0.3">
      <c r="C3677" t="s">
        <v>2619</v>
      </c>
    </row>
    <row r="3678" spans="3:9" x14ac:dyDescent="0.3">
      <c r="C3678" t="s">
        <v>2620</v>
      </c>
      <c r="I3678" t="s">
        <v>3287</v>
      </c>
    </row>
    <row r="3679" spans="3:9" x14ac:dyDescent="0.3">
      <c r="C3679" t="s">
        <v>2621</v>
      </c>
    </row>
    <row r="3680" spans="3:9" x14ac:dyDescent="0.3">
      <c r="C3680" t="s">
        <v>2622</v>
      </c>
      <c r="I3680" t="s">
        <v>2727</v>
      </c>
    </row>
    <row r="3681" spans="3:9" x14ac:dyDescent="0.3">
      <c r="C3681" t="e">
        <f>- a ciascuno degli amministratori disgiuntamente in caso di</f>
        <v>#NAME?</v>
      </c>
      <c r="I3681" t="s">
        <v>2728</v>
      </c>
    </row>
    <row r="3682" spans="3:9" x14ac:dyDescent="0.3">
      <c r="C3682" t="s">
        <v>2623</v>
      </c>
      <c r="I3682" t="s">
        <v>2729</v>
      </c>
    </row>
    <row r="3683" spans="3:9" x14ac:dyDescent="0.3">
      <c r="C3683" t="s">
        <v>2624</v>
      </c>
    </row>
    <row r="3684" spans="3:9" x14ac:dyDescent="0.3">
      <c r="C3684" t="s">
        <v>2625</v>
      </c>
    </row>
    <row r="3685" spans="3:9" x14ac:dyDescent="0.3">
      <c r="C3685" t="s">
        <v>2626</v>
      </c>
      <c r="I3685" t="s">
        <v>2730</v>
      </c>
    </row>
    <row r="3686" spans="3:9" x14ac:dyDescent="0.3">
      <c r="C3686" t="s">
        <v>3456</v>
      </c>
      <c r="I3686" t="s">
        <v>1911</v>
      </c>
    </row>
    <row r="3687" spans="3:9" x14ac:dyDescent="0.3">
      <c r="C3687" t="s">
        <v>2629</v>
      </c>
    </row>
    <row r="3688" spans="3:9" x14ac:dyDescent="0.3">
      <c r="C3688" t="s">
        <v>2630</v>
      </c>
      <c r="I3688" t="s">
        <v>3288</v>
      </c>
    </row>
    <row r="3689" spans="3:9" x14ac:dyDescent="0.3">
      <c r="C3689">
        <v>14</v>
      </c>
    </row>
    <row r="3690" spans="3:9" x14ac:dyDescent="0.3">
      <c r="C3690" t="s">
        <v>89</v>
      </c>
      <c r="I3690" t="s">
        <v>2731</v>
      </c>
    </row>
    <row r="3691" spans="3:9" x14ac:dyDescent="0.3">
      <c r="C3691" t="s">
        <v>2631</v>
      </c>
      <c r="I3691" t="s">
        <v>2732</v>
      </c>
    </row>
    <row r="3692" spans="3:9" x14ac:dyDescent="0.3">
      <c r="C3692" t="s">
        <v>2632</v>
      </c>
      <c r="I3692" t="s">
        <v>2733</v>
      </c>
    </row>
    <row r="3693" spans="3:9" x14ac:dyDescent="0.3">
      <c r="C3693" t="s">
        <v>2633</v>
      </c>
      <c r="I3693" t="s">
        <v>2734</v>
      </c>
    </row>
    <row r="3694" spans="3:9" x14ac:dyDescent="0.3">
      <c r="I3694" t="s">
        <v>2735</v>
      </c>
    </row>
    <row r="3695" spans="3:9" x14ac:dyDescent="0.3">
      <c r="I3695" t="s">
        <v>2736</v>
      </c>
    </row>
    <row r="3696" spans="3:9" x14ac:dyDescent="0.3">
      <c r="C3696" t="s">
        <v>1939</v>
      </c>
      <c r="I3696" t="s">
        <v>2737</v>
      </c>
    </row>
    <row r="3697" spans="3:9" x14ac:dyDescent="0.3">
      <c r="C3697" t="s">
        <v>1911</v>
      </c>
      <c r="I3697">
        <v>16</v>
      </c>
    </row>
    <row r="3698" spans="3:9" x14ac:dyDescent="0.3">
      <c r="I3698" t="s">
        <v>89</v>
      </c>
    </row>
    <row r="3699" spans="3:9" x14ac:dyDescent="0.3">
      <c r="C3699" t="s">
        <v>3246</v>
      </c>
      <c r="I3699" t="s">
        <v>2738</v>
      </c>
    </row>
    <row r="3700" spans="3:9" x14ac:dyDescent="0.3">
      <c r="I3700" t="s">
        <v>2739</v>
      </c>
    </row>
    <row r="3701" spans="3:9" x14ac:dyDescent="0.3">
      <c r="C3701" t="s">
        <v>2626</v>
      </c>
      <c r="I3701" t="s">
        <v>2740</v>
      </c>
    </row>
    <row r="3702" spans="3:9" x14ac:dyDescent="0.3">
      <c r="C3702" t="s">
        <v>3456</v>
      </c>
      <c r="I3702" t="s">
        <v>2741</v>
      </c>
    </row>
    <row r="3703" spans="3:9" x14ac:dyDescent="0.3">
      <c r="C3703" t="s">
        <v>2629</v>
      </c>
      <c r="I3703" t="s">
        <v>2742</v>
      </c>
    </row>
    <row r="3704" spans="3:9" x14ac:dyDescent="0.3">
      <c r="C3704" t="s">
        <v>2630</v>
      </c>
      <c r="I3704" t="s">
        <v>2743</v>
      </c>
    </row>
    <row r="3705" spans="3:9" x14ac:dyDescent="0.3">
      <c r="C3705">
        <v>14</v>
      </c>
      <c r="I3705" t="s">
        <v>2744</v>
      </c>
    </row>
    <row r="3706" spans="3:9" x14ac:dyDescent="0.3">
      <c r="C3706" t="s">
        <v>89</v>
      </c>
      <c r="I3706" t="s">
        <v>2745</v>
      </c>
    </row>
    <row r="3707" spans="3:9" x14ac:dyDescent="0.3">
      <c r="C3707" t="s">
        <v>2631</v>
      </c>
      <c r="I3707" t="s">
        <v>2746</v>
      </c>
    </row>
    <row r="3708" spans="3:9" x14ac:dyDescent="0.3">
      <c r="C3708" t="s">
        <v>2632</v>
      </c>
      <c r="I3708" t="s">
        <v>2747</v>
      </c>
    </row>
    <row r="3709" spans="3:9" x14ac:dyDescent="0.3">
      <c r="C3709" t="s">
        <v>2633</v>
      </c>
      <c r="I3709" t="s">
        <v>2748</v>
      </c>
    </row>
    <row r="3710" spans="3:9" x14ac:dyDescent="0.3">
      <c r="C3710" t="s">
        <v>2634</v>
      </c>
      <c r="I3710" t="s">
        <v>2749</v>
      </c>
    </row>
    <row r="3711" spans="3:9" x14ac:dyDescent="0.3">
      <c r="C3711" t="s">
        <v>2635</v>
      </c>
      <c r="I3711" t="s">
        <v>2750</v>
      </c>
    </row>
    <row r="3712" spans="3:9" x14ac:dyDescent="0.3">
      <c r="C3712" t="s">
        <v>2636</v>
      </c>
      <c r="I3712" t="s">
        <v>2751</v>
      </c>
    </row>
    <row r="3713" spans="3:9" x14ac:dyDescent="0.3">
      <c r="C3713" t="s">
        <v>2637</v>
      </c>
      <c r="I3713" t="s">
        <v>2752</v>
      </c>
    </row>
    <row r="3714" spans="3:9" x14ac:dyDescent="0.3">
      <c r="C3714" t="s">
        <v>2638</v>
      </c>
      <c r="I3714" t="s">
        <v>2753</v>
      </c>
    </row>
    <row r="3715" spans="3:9" x14ac:dyDescent="0.3">
      <c r="C3715" t="s">
        <v>2639</v>
      </c>
      <c r="I3715" t="s">
        <v>2754</v>
      </c>
    </row>
    <row r="3716" spans="3:9" x14ac:dyDescent="0.3">
      <c r="C3716" t="s">
        <v>2640</v>
      </c>
      <c r="I3716" t="s">
        <v>2755</v>
      </c>
    </row>
    <row r="3717" spans="3:9" x14ac:dyDescent="0.3">
      <c r="C3717" t="s">
        <v>3457</v>
      </c>
      <c r="I3717" t="s">
        <v>2756</v>
      </c>
    </row>
    <row r="3718" spans="3:9" x14ac:dyDescent="0.3">
      <c r="C3718" t="s">
        <v>2643</v>
      </c>
      <c r="I3718" t="s">
        <v>2757</v>
      </c>
    </row>
    <row r="3719" spans="3:9" x14ac:dyDescent="0.3">
      <c r="C3719" t="s">
        <v>2644</v>
      </c>
      <c r="I3719" t="s">
        <v>2758</v>
      </c>
    </row>
    <row r="3720" spans="3:9" x14ac:dyDescent="0.3">
      <c r="C3720" t="s">
        <v>2645</v>
      </c>
      <c r="I3720" t="s">
        <v>2759</v>
      </c>
    </row>
    <row r="3721" spans="3:9" x14ac:dyDescent="0.3">
      <c r="C3721" t="s">
        <v>2646</v>
      </c>
      <c r="I3721" t="s">
        <v>2760</v>
      </c>
    </row>
    <row r="3722" spans="3:9" x14ac:dyDescent="0.3">
      <c r="C3722" t="s">
        <v>2647</v>
      </c>
      <c r="I3722" t="s">
        <v>2761</v>
      </c>
    </row>
    <row r="3723" spans="3:9" x14ac:dyDescent="0.3">
      <c r="C3723" t="s">
        <v>2649</v>
      </c>
      <c r="I3723" t="s">
        <v>2762</v>
      </c>
    </row>
    <row r="3724" spans="3:9" x14ac:dyDescent="0.3">
      <c r="C3724" t="s">
        <v>2650</v>
      </c>
      <c r="I3724" t="s">
        <v>2763</v>
      </c>
    </row>
    <row r="3725" spans="3:9" x14ac:dyDescent="0.3">
      <c r="C3725" t="s">
        <v>2651</v>
      </c>
      <c r="I3725" t="s">
        <v>2764</v>
      </c>
    </row>
    <row r="3726" spans="3:9" x14ac:dyDescent="0.3">
      <c r="C3726" t="s">
        <v>2652</v>
      </c>
      <c r="I3726" t="s">
        <v>2765</v>
      </c>
    </row>
    <row r="3727" spans="3:9" x14ac:dyDescent="0.3">
      <c r="C3727" t="s">
        <v>2653</v>
      </c>
      <c r="I3727" t="s">
        <v>2766</v>
      </c>
    </row>
    <row r="3728" spans="3:9" x14ac:dyDescent="0.3">
      <c r="C3728" t="s">
        <v>2654</v>
      </c>
    </row>
    <row r="3729" spans="3:9" x14ac:dyDescent="0.3">
      <c r="C3729" t="s">
        <v>2655</v>
      </c>
    </row>
    <row r="3730" spans="3:9" x14ac:dyDescent="0.3">
      <c r="C3730" t="s">
        <v>2656</v>
      </c>
      <c r="I3730" t="s">
        <v>2767</v>
      </c>
    </row>
    <row r="3731" spans="3:9" x14ac:dyDescent="0.3">
      <c r="C3731" t="s">
        <v>2657</v>
      </c>
      <c r="I3731" t="s">
        <v>1911</v>
      </c>
    </row>
    <row r="3732" spans="3:9" x14ac:dyDescent="0.3">
      <c r="C3732" t="s">
        <v>2658</v>
      </c>
    </row>
    <row r="3733" spans="3:9" x14ac:dyDescent="0.3">
      <c r="C3733" t="s">
        <v>2659</v>
      </c>
      <c r="I3733" t="s">
        <v>3289</v>
      </c>
    </row>
    <row r="3734" spans="3:9" x14ac:dyDescent="0.3">
      <c r="C3734" t="s">
        <v>2660</v>
      </c>
    </row>
    <row r="3735" spans="3:9" x14ac:dyDescent="0.3">
      <c r="C3735" t="s">
        <v>2661</v>
      </c>
      <c r="I3735" t="s">
        <v>2768</v>
      </c>
    </row>
    <row r="3736" spans="3:9" x14ac:dyDescent="0.3">
      <c r="C3736" t="s">
        <v>2662</v>
      </c>
      <c r="I3736" t="s">
        <v>2769</v>
      </c>
    </row>
    <row r="3737" spans="3:9" x14ac:dyDescent="0.3">
      <c r="C3737" t="s">
        <v>2663</v>
      </c>
      <c r="I3737" t="s">
        <v>2770</v>
      </c>
    </row>
    <row r="3738" spans="3:9" x14ac:dyDescent="0.3">
      <c r="I3738" t="s">
        <v>2771</v>
      </c>
    </row>
    <row r="3739" spans="3:9" x14ac:dyDescent="0.3">
      <c r="I3739" t="s">
        <v>2772</v>
      </c>
    </row>
    <row r="3740" spans="3:9" x14ac:dyDescent="0.3">
      <c r="C3740" t="s">
        <v>1968</v>
      </c>
      <c r="I3740" t="s">
        <v>2773</v>
      </c>
    </row>
    <row r="3741" spans="3:9" x14ac:dyDescent="0.3">
      <c r="C3741" t="s">
        <v>1911</v>
      </c>
      <c r="I3741" t="s">
        <v>2774</v>
      </c>
    </row>
    <row r="3742" spans="3:9" x14ac:dyDescent="0.3">
      <c r="I3742" t="s">
        <v>2775</v>
      </c>
    </row>
    <row r="3743" spans="3:9" x14ac:dyDescent="0.3">
      <c r="C3743" t="s">
        <v>3247</v>
      </c>
      <c r="I3743" t="s">
        <v>2776</v>
      </c>
    </row>
    <row r="3744" spans="3:9" x14ac:dyDescent="0.3">
      <c r="I3744" t="s">
        <v>2777</v>
      </c>
    </row>
    <row r="3745" spans="3:9" x14ac:dyDescent="0.3">
      <c r="C3745" t="s">
        <v>2656</v>
      </c>
      <c r="I3745" t="s">
        <v>2778</v>
      </c>
    </row>
    <row r="3746" spans="3:9" x14ac:dyDescent="0.3">
      <c r="C3746" t="s">
        <v>2657</v>
      </c>
      <c r="I3746">
        <v>17</v>
      </c>
    </row>
    <row r="3747" spans="3:9" x14ac:dyDescent="0.3">
      <c r="C3747" t="s">
        <v>2658</v>
      </c>
      <c r="I3747" t="s">
        <v>89</v>
      </c>
    </row>
    <row r="3748" spans="3:9" x14ac:dyDescent="0.3">
      <c r="C3748" t="s">
        <v>2659</v>
      </c>
      <c r="I3748" t="s">
        <v>2779</v>
      </c>
    </row>
    <row r="3749" spans="3:9" x14ac:dyDescent="0.3">
      <c r="C3749" t="s">
        <v>2660</v>
      </c>
      <c r="I3749" t="s">
        <v>2780</v>
      </c>
    </row>
    <row r="3750" spans="3:9" x14ac:dyDescent="0.3">
      <c r="C3750" t="s">
        <v>2661</v>
      </c>
      <c r="I3750" t="s">
        <v>2781</v>
      </c>
    </row>
    <row r="3751" spans="3:9" x14ac:dyDescent="0.3">
      <c r="C3751" t="s">
        <v>2662</v>
      </c>
      <c r="I3751" t="s">
        <v>2782</v>
      </c>
    </row>
    <row r="3752" spans="3:9" x14ac:dyDescent="0.3">
      <c r="C3752" t="s">
        <v>2663</v>
      </c>
      <c r="I3752" t="s">
        <v>2783</v>
      </c>
    </row>
    <row r="3753" spans="3:9" x14ac:dyDescent="0.3">
      <c r="C3753" t="s">
        <v>2664</v>
      </c>
      <c r="I3753" t="s">
        <v>2784</v>
      </c>
    </row>
    <row r="3754" spans="3:9" x14ac:dyDescent="0.3">
      <c r="C3754" t="s">
        <v>2665</v>
      </c>
    </row>
    <row r="3755" spans="3:9" x14ac:dyDescent="0.3">
      <c r="C3755" t="s">
        <v>2666</v>
      </c>
    </row>
    <row r="3756" spans="3:9" x14ac:dyDescent="0.3">
      <c r="C3756" t="s">
        <v>2667</v>
      </c>
    </row>
    <row r="3757" spans="3:9" x14ac:dyDescent="0.3">
      <c r="C3757" t="s">
        <v>2668</v>
      </c>
    </row>
    <row r="3758" spans="3:9" x14ac:dyDescent="0.3">
      <c r="C3758" t="s">
        <v>2669</v>
      </c>
    </row>
    <row r="3759" spans="3:9" x14ac:dyDescent="0.3">
      <c r="C3759" t="s">
        <v>2670</v>
      </c>
    </row>
    <row r="3760" spans="3:9" x14ac:dyDescent="0.3">
      <c r="C3760" t="s">
        <v>2671</v>
      </c>
    </row>
    <row r="3761" spans="3:3" x14ac:dyDescent="0.3">
      <c r="C3761" t="s">
        <v>2672</v>
      </c>
    </row>
    <row r="3762" spans="3:3" x14ac:dyDescent="0.3">
      <c r="C3762" t="s">
        <v>2673</v>
      </c>
    </row>
    <row r="3763" spans="3:3" x14ac:dyDescent="0.3">
      <c r="C3763" t="s">
        <v>2675</v>
      </c>
    </row>
    <row r="3764" spans="3:3" x14ac:dyDescent="0.3">
      <c r="C3764" t="s">
        <v>2676</v>
      </c>
    </row>
    <row r="3765" spans="3:3" x14ac:dyDescent="0.3">
      <c r="C3765" t="s">
        <v>2677</v>
      </c>
    </row>
    <row r="3766" spans="3:3" x14ac:dyDescent="0.3">
      <c r="C3766" t="s">
        <v>3458</v>
      </c>
    </row>
    <row r="3767" spans="3:3" x14ac:dyDescent="0.3">
      <c r="C3767" t="s">
        <v>2680</v>
      </c>
    </row>
    <row r="3768" spans="3:3" x14ac:dyDescent="0.3">
      <c r="C3768" t="s">
        <v>2681</v>
      </c>
    </row>
    <row r="3769" spans="3:3" x14ac:dyDescent="0.3">
      <c r="C3769" t="s">
        <v>2682</v>
      </c>
    </row>
    <row r="3770" spans="3:3" x14ac:dyDescent="0.3">
      <c r="C3770" t="s">
        <v>2683</v>
      </c>
    </row>
    <row r="3771" spans="3:3" x14ac:dyDescent="0.3">
      <c r="C3771" t="s">
        <v>2685</v>
      </c>
    </row>
    <row r="3772" spans="3:3" x14ac:dyDescent="0.3">
      <c r="C3772">
        <v>15</v>
      </c>
    </row>
    <row r="3773" spans="3:3" x14ac:dyDescent="0.3">
      <c r="C3773" t="s">
        <v>89</v>
      </c>
    </row>
    <row r="3774" spans="3:3" x14ac:dyDescent="0.3">
      <c r="C3774" t="s">
        <v>2686</v>
      </c>
    </row>
    <row r="3775" spans="3:3" x14ac:dyDescent="0.3">
      <c r="C3775" t="s">
        <v>2687</v>
      </c>
    </row>
    <row r="3776" spans="3:3" x14ac:dyDescent="0.3">
      <c r="C3776" t="s">
        <v>2688</v>
      </c>
    </row>
    <row r="3777" spans="3:3" x14ac:dyDescent="0.3">
      <c r="C3777" t="s">
        <v>2689</v>
      </c>
    </row>
    <row r="3778" spans="3:3" x14ac:dyDescent="0.3">
      <c r="C3778" t="s">
        <v>2690</v>
      </c>
    </row>
    <row r="3779" spans="3:3" x14ac:dyDescent="0.3">
      <c r="C3779" t="s">
        <v>2691</v>
      </c>
    </row>
    <row r="3780" spans="3:3" x14ac:dyDescent="0.3">
      <c r="C3780" t="s">
        <v>2692</v>
      </c>
    </row>
    <row r="3781" spans="3:3" x14ac:dyDescent="0.3">
      <c r="C3781" t="s">
        <v>2693</v>
      </c>
    </row>
    <row r="3782" spans="3:3" x14ac:dyDescent="0.3">
      <c r="C3782" t="s">
        <v>2694</v>
      </c>
    </row>
    <row r="3785" spans="3:3" x14ac:dyDescent="0.3">
      <c r="C3785" t="s">
        <v>1991</v>
      </c>
    </row>
    <row r="3786" spans="3:3" x14ac:dyDescent="0.3">
      <c r="C3786" t="s">
        <v>1911</v>
      </c>
    </row>
    <row r="3788" spans="3:3" x14ac:dyDescent="0.3">
      <c r="C3788" t="s">
        <v>3248</v>
      </c>
    </row>
    <row r="3790" spans="3:3" x14ac:dyDescent="0.3">
      <c r="C3790" t="s">
        <v>2686</v>
      </c>
    </row>
    <row r="3791" spans="3:3" x14ac:dyDescent="0.3">
      <c r="C3791" t="s">
        <v>2687</v>
      </c>
    </row>
    <row r="3792" spans="3:3" x14ac:dyDescent="0.3">
      <c r="C3792" t="s">
        <v>2688</v>
      </c>
    </row>
    <row r="3793" spans="3:3" x14ac:dyDescent="0.3">
      <c r="C3793" t="s">
        <v>2689</v>
      </c>
    </row>
    <row r="3794" spans="3:3" x14ac:dyDescent="0.3">
      <c r="C3794" t="s">
        <v>2690</v>
      </c>
    </row>
    <row r="3795" spans="3:3" x14ac:dyDescent="0.3">
      <c r="C3795" t="s">
        <v>2691</v>
      </c>
    </row>
    <row r="3796" spans="3:3" x14ac:dyDescent="0.3">
      <c r="C3796" t="s">
        <v>2692</v>
      </c>
    </row>
    <row r="3797" spans="3:3" x14ac:dyDescent="0.3">
      <c r="C3797" t="s">
        <v>2693</v>
      </c>
    </row>
    <row r="3798" spans="3:3" x14ac:dyDescent="0.3">
      <c r="C3798" t="s">
        <v>2694</v>
      </c>
    </row>
    <row r="3799" spans="3:3" x14ac:dyDescent="0.3">
      <c r="C3799" t="s">
        <v>2695</v>
      </c>
    </row>
    <row r="3800" spans="3:3" x14ac:dyDescent="0.3">
      <c r="C3800" t="s">
        <v>2696</v>
      </c>
    </row>
    <row r="3801" spans="3:3" x14ac:dyDescent="0.3">
      <c r="C3801" t="s">
        <v>2697</v>
      </c>
    </row>
    <row r="3802" spans="3:3" x14ac:dyDescent="0.3">
      <c r="C3802" t="s">
        <v>3459</v>
      </c>
    </row>
    <row r="3803" spans="3:3" x14ac:dyDescent="0.3">
      <c r="C3803" t="s">
        <v>2700</v>
      </c>
    </row>
    <row r="3804" spans="3:3" x14ac:dyDescent="0.3">
      <c r="C3804" t="s">
        <v>2701</v>
      </c>
    </row>
    <row r="3805" spans="3:3" x14ac:dyDescent="0.3">
      <c r="C3805" t="s">
        <v>2702</v>
      </c>
    </row>
    <row r="3806" spans="3:3" x14ac:dyDescent="0.3">
      <c r="C3806" t="s">
        <v>2703</v>
      </c>
    </row>
    <row r="3807" spans="3:3" x14ac:dyDescent="0.3">
      <c r="C3807" t="s">
        <v>2704</v>
      </c>
    </row>
    <row r="3808" spans="3:3" x14ac:dyDescent="0.3">
      <c r="C3808" t="s">
        <v>2705</v>
      </c>
    </row>
    <row r="3809" spans="3:3" x14ac:dyDescent="0.3">
      <c r="C3809" t="s">
        <v>2706</v>
      </c>
    </row>
    <row r="3810" spans="3:3" x14ac:dyDescent="0.3">
      <c r="C3810" t="s">
        <v>3460</v>
      </c>
    </row>
    <row r="3811" spans="3:3" x14ac:dyDescent="0.3">
      <c r="C3811" t="s">
        <v>2709</v>
      </c>
    </row>
    <row r="3812" spans="3:3" x14ac:dyDescent="0.3">
      <c r="C3812" t="s">
        <v>2710</v>
      </c>
    </row>
    <row r="3813" spans="3:3" x14ac:dyDescent="0.3">
      <c r="C3813" t="s">
        <v>2711</v>
      </c>
    </row>
    <row r="3814" spans="3:3" x14ac:dyDescent="0.3">
      <c r="C3814" t="s">
        <v>2712</v>
      </c>
    </row>
    <row r="3815" spans="3:3" x14ac:dyDescent="0.3">
      <c r="C3815" t="s">
        <v>2713</v>
      </c>
    </row>
    <row r="3816" spans="3:3" x14ac:dyDescent="0.3">
      <c r="C3816" t="s">
        <v>2714</v>
      </c>
    </row>
    <row r="3817" spans="3:3" x14ac:dyDescent="0.3">
      <c r="C3817" t="s">
        <v>2715</v>
      </c>
    </row>
    <row r="3818" spans="3:3" x14ac:dyDescent="0.3">
      <c r="C3818" t="s">
        <v>2716</v>
      </c>
    </row>
    <row r="3819" spans="3:3" x14ac:dyDescent="0.3">
      <c r="C3819" t="s">
        <v>2717</v>
      </c>
    </row>
    <row r="3820" spans="3:3" x14ac:dyDescent="0.3">
      <c r="C3820" t="s">
        <v>2718</v>
      </c>
    </row>
    <row r="3821" spans="3:3" x14ac:dyDescent="0.3">
      <c r="C3821" t="e">
        <f>- il numero dei liquidatori e le regole di funzionamento del</f>
        <v>#NAME?</v>
      </c>
    </row>
    <row r="3822" spans="3:3" x14ac:dyDescent="0.3">
      <c r="C3822" t="s">
        <v>2719</v>
      </c>
    </row>
    <row r="3823" spans="3:3" x14ac:dyDescent="0.3">
      <c r="C3823" t="s">
        <v>2720</v>
      </c>
    </row>
    <row r="3824" spans="3:3" x14ac:dyDescent="0.3">
      <c r="C3824" t="s">
        <v>2721</v>
      </c>
    </row>
    <row r="3825" spans="3:3" x14ac:dyDescent="0.3">
      <c r="C3825" t="s">
        <v>2722</v>
      </c>
    </row>
    <row r="3826" spans="3:3" x14ac:dyDescent="0.3">
      <c r="C3826" t="e">
        <f>- i poteri dei liquidatori.</f>
        <v>#NAME?</v>
      </c>
    </row>
    <row r="3829" spans="3:3" x14ac:dyDescent="0.3">
      <c r="C3829" t="s">
        <v>2016</v>
      </c>
    </row>
    <row r="3830" spans="3:3" x14ac:dyDescent="0.3">
      <c r="C3830" t="s">
        <v>1911</v>
      </c>
    </row>
    <row r="3832" spans="3:3" x14ac:dyDescent="0.3">
      <c r="C3832" t="s">
        <v>3249</v>
      </c>
    </row>
    <row r="3834" spans="3:3" x14ac:dyDescent="0.3">
      <c r="C3834" t="s">
        <v>2716</v>
      </c>
    </row>
    <row r="3835" spans="3:3" x14ac:dyDescent="0.3">
      <c r="C3835" t="s">
        <v>2717</v>
      </c>
    </row>
    <row r="3836" spans="3:3" x14ac:dyDescent="0.3">
      <c r="C3836" t="s">
        <v>2718</v>
      </c>
    </row>
    <row r="3837" spans="3:3" x14ac:dyDescent="0.3">
      <c r="C3837" t="e">
        <f>- il numero dei liquidatori e le regole di funzionamento del</f>
        <v>#NAME?</v>
      </c>
    </row>
    <row r="3838" spans="3:3" x14ac:dyDescent="0.3">
      <c r="C3838" t="s">
        <v>2719</v>
      </c>
    </row>
    <row r="3839" spans="3:3" x14ac:dyDescent="0.3">
      <c r="C3839" t="s">
        <v>2720</v>
      </c>
    </row>
    <row r="3840" spans="3:3" x14ac:dyDescent="0.3">
      <c r="C3840" t="s">
        <v>2721</v>
      </c>
    </row>
    <row r="3841" spans="3:3" x14ac:dyDescent="0.3">
      <c r="C3841" t="s">
        <v>2722</v>
      </c>
    </row>
    <row r="3842" spans="3:3" x14ac:dyDescent="0.3">
      <c r="C3842" t="e">
        <f>- i poteri dei liquidatori.</f>
        <v>#NAME?</v>
      </c>
    </row>
    <row r="3843" spans="3:3" x14ac:dyDescent="0.3">
      <c r="C3843" t="s">
        <v>2723</v>
      </c>
    </row>
    <row r="3844" spans="3:3" x14ac:dyDescent="0.3">
      <c r="C3844" t="s">
        <v>2724</v>
      </c>
    </row>
    <row r="3845" spans="3:3" x14ac:dyDescent="0.3">
      <c r="C3845" t="s">
        <v>3461</v>
      </c>
    </row>
    <row r="3846" spans="3:3" x14ac:dyDescent="0.3">
      <c r="C3846" t="s">
        <v>2727</v>
      </c>
    </row>
    <row r="3847" spans="3:3" x14ac:dyDescent="0.3">
      <c r="C3847" t="s">
        <v>2728</v>
      </c>
    </row>
    <row r="3848" spans="3:3" x14ac:dyDescent="0.3">
      <c r="C3848" t="s">
        <v>3462</v>
      </c>
    </row>
    <row r="3849" spans="3:3" x14ac:dyDescent="0.3">
      <c r="C3849" t="s">
        <v>2731</v>
      </c>
    </row>
    <row r="3850" spans="3:3" x14ac:dyDescent="0.3">
      <c r="C3850" t="s">
        <v>2732</v>
      </c>
    </row>
    <row r="3851" spans="3:3" x14ac:dyDescent="0.3">
      <c r="C3851" t="s">
        <v>2733</v>
      </c>
    </row>
    <row r="3852" spans="3:3" x14ac:dyDescent="0.3">
      <c r="C3852" t="s">
        <v>2734</v>
      </c>
    </row>
    <row r="3853" spans="3:3" x14ac:dyDescent="0.3">
      <c r="C3853" t="s">
        <v>2735</v>
      </c>
    </row>
    <row r="3854" spans="3:3" x14ac:dyDescent="0.3">
      <c r="C3854" t="s">
        <v>2736</v>
      </c>
    </row>
    <row r="3855" spans="3:3" x14ac:dyDescent="0.3">
      <c r="C3855" t="s">
        <v>2737</v>
      </c>
    </row>
    <row r="3856" spans="3:3" x14ac:dyDescent="0.3">
      <c r="C3856">
        <v>16</v>
      </c>
    </row>
    <row r="3857" spans="3:3" x14ac:dyDescent="0.3">
      <c r="C3857" t="s">
        <v>89</v>
      </c>
    </row>
    <row r="3858" spans="3:3" x14ac:dyDescent="0.3">
      <c r="C3858" t="s">
        <v>2738</v>
      </c>
    </row>
    <row r="3859" spans="3:3" x14ac:dyDescent="0.3">
      <c r="C3859" t="s">
        <v>2739</v>
      </c>
    </row>
    <row r="3860" spans="3:3" x14ac:dyDescent="0.3">
      <c r="C3860" t="s">
        <v>2740</v>
      </c>
    </row>
    <row r="3861" spans="3:3" x14ac:dyDescent="0.3">
      <c r="C3861" t="s">
        <v>2741</v>
      </c>
    </row>
    <row r="3862" spans="3:3" x14ac:dyDescent="0.3">
      <c r="C3862" t="s">
        <v>2742</v>
      </c>
    </row>
    <row r="3863" spans="3:3" x14ac:dyDescent="0.3">
      <c r="C3863" t="s">
        <v>2743</v>
      </c>
    </row>
    <row r="3864" spans="3:3" x14ac:dyDescent="0.3">
      <c r="C3864" t="s">
        <v>2744</v>
      </c>
    </row>
    <row r="3865" spans="3:3" x14ac:dyDescent="0.3">
      <c r="C3865" t="s">
        <v>2745</v>
      </c>
    </row>
    <row r="3866" spans="3:3" x14ac:dyDescent="0.3">
      <c r="C3866" t="s">
        <v>2746</v>
      </c>
    </row>
    <row r="3867" spans="3:3" x14ac:dyDescent="0.3">
      <c r="C3867" t="s">
        <v>2747</v>
      </c>
    </row>
    <row r="3868" spans="3:3" x14ac:dyDescent="0.3">
      <c r="C3868" t="s">
        <v>2748</v>
      </c>
    </row>
    <row r="3869" spans="3:3" x14ac:dyDescent="0.3">
      <c r="C3869" t="s">
        <v>2749</v>
      </c>
    </row>
    <row r="3872" spans="3:3" x14ac:dyDescent="0.3">
      <c r="C3872" t="s">
        <v>2045</v>
      </c>
    </row>
    <row r="3873" spans="3:3" x14ac:dyDescent="0.3">
      <c r="C3873" t="s">
        <v>1911</v>
      </c>
    </row>
    <row r="3875" spans="3:3" x14ac:dyDescent="0.3">
      <c r="C3875" t="s">
        <v>3250</v>
      </c>
    </row>
    <row r="3877" spans="3:3" x14ac:dyDescent="0.3">
      <c r="C3877" t="s">
        <v>2742</v>
      </c>
    </row>
    <row r="3878" spans="3:3" x14ac:dyDescent="0.3">
      <c r="C3878" t="s">
        <v>2743</v>
      </c>
    </row>
    <row r="3879" spans="3:3" x14ac:dyDescent="0.3">
      <c r="C3879" t="s">
        <v>2744</v>
      </c>
    </row>
    <row r="3880" spans="3:3" x14ac:dyDescent="0.3">
      <c r="C3880" t="s">
        <v>2745</v>
      </c>
    </row>
    <row r="3881" spans="3:3" x14ac:dyDescent="0.3">
      <c r="C3881" t="s">
        <v>2746</v>
      </c>
    </row>
    <row r="3882" spans="3:3" x14ac:dyDescent="0.3">
      <c r="C3882" t="s">
        <v>2747</v>
      </c>
    </row>
    <row r="3883" spans="3:3" x14ac:dyDescent="0.3">
      <c r="C3883" t="s">
        <v>2748</v>
      </c>
    </row>
    <row r="3884" spans="3:3" x14ac:dyDescent="0.3">
      <c r="C3884" t="s">
        <v>2749</v>
      </c>
    </row>
    <row r="3885" spans="3:3" x14ac:dyDescent="0.3">
      <c r="C3885" t="s">
        <v>2750</v>
      </c>
    </row>
    <row r="3886" spans="3:3" x14ac:dyDescent="0.3">
      <c r="C3886" t="s">
        <v>2751</v>
      </c>
    </row>
    <row r="3887" spans="3:3" x14ac:dyDescent="0.3">
      <c r="C3887" t="s">
        <v>2752</v>
      </c>
    </row>
    <row r="3888" spans="3:3" x14ac:dyDescent="0.3">
      <c r="C3888" t="s">
        <v>2753</v>
      </c>
    </row>
    <row r="3889" spans="3:3" x14ac:dyDescent="0.3">
      <c r="C3889" t="s">
        <v>2754</v>
      </c>
    </row>
    <row r="3890" spans="3:3" x14ac:dyDescent="0.3">
      <c r="C3890" t="s">
        <v>2755</v>
      </c>
    </row>
    <row r="3891" spans="3:3" x14ac:dyDescent="0.3">
      <c r="C3891" t="s">
        <v>2756</v>
      </c>
    </row>
    <row r="3892" spans="3:3" x14ac:dyDescent="0.3">
      <c r="C3892" t="s">
        <v>2757</v>
      </c>
    </row>
    <row r="3893" spans="3:3" x14ac:dyDescent="0.3">
      <c r="C3893" t="s">
        <v>2758</v>
      </c>
    </row>
    <row r="3894" spans="3:3" x14ac:dyDescent="0.3">
      <c r="C3894" t="s">
        <v>2759</v>
      </c>
    </row>
    <row r="3895" spans="3:3" x14ac:dyDescent="0.3">
      <c r="C3895" t="s">
        <v>2760</v>
      </c>
    </row>
    <row r="3896" spans="3:3" x14ac:dyDescent="0.3">
      <c r="C3896" t="s">
        <v>2761</v>
      </c>
    </row>
    <row r="3897" spans="3:3" x14ac:dyDescent="0.3">
      <c r="C3897" t="s">
        <v>2762</v>
      </c>
    </row>
    <row r="3898" spans="3:3" x14ac:dyDescent="0.3">
      <c r="C3898" t="s">
        <v>2763</v>
      </c>
    </row>
    <row r="3899" spans="3:3" x14ac:dyDescent="0.3">
      <c r="C3899" t="s">
        <v>2764</v>
      </c>
    </row>
    <row r="3900" spans="3:3" x14ac:dyDescent="0.3">
      <c r="C3900" t="s">
        <v>2765</v>
      </c>
    </row>
    <row r="3901" spans="3:3" x14ac:dyDescent="0.3">
      <c r="C3901" t="s">
        <v>3463</v>
      </c>
    </row>
    <row r="3902" spans="3:3" x14ac:dyDescent="0.3">
      <c r="C3902" t="s">
        <v>2768</v>
      </c>
    </row>
    <row r="3903" spans="3:3" x14ac:dyDescent="0.3">
      <c r="C3903" t="s">
        <v>2769</v>
      </c>
    </row>
    <row r="3904" spans="3:3" x14ac:dyDescent="0.3">
      <c r="C3904" t="s">
        <v>2770</v>
      </c>
    </row>
    <row r="3905" spans="3:3" x14ac:dyDescent="0.3">
      <c r="C3905" t="s">
        <v>2771</v>
      </c>
    </row>
    <row r="3906" spans="3:3" x14ac:dyDescent="0.3">
      <c r="C3906" t="s">
        <v>2772</v>
      </c>
    </row>
    <row r="3907" spans="3:3" x14ac:dyDescent="0.3">
      <c r="C3907" t="s">
        <v>2773</v>
      </c>
    </row>
    <row r="3908" spans="3:3" x14ac:dyDescent="0.3">
      <c r="C3908" t="s">
        <v>2774</v>
      </c>
    </row>
    <row r="3909" spans="3:3" x14ac:dyDescent="0.3">
      <c r="C3909" t="s">
        <v>2775</v>
      </c>
    </row>
    <row r="3910" spans="3:3" x14ac:dyDescent="0.3">
      <c r="C3910" t="s">
        <v>2776</v>
      </c>
    </row>
    <row r="3913" spans="3:3" x14ac:dyDescent="0.3">
      <c r="C3913" t="s">
        <v>2072</v>
      </c>
    </row>
    <row r="3914" spans="3:3" x14ac:dyDescent="0.3">
      <c r="C3914" t="s">
        <v>1911</v>
      </c>
    </row>
    <row r="3916" spans="3:3" x14ac:dyDescent="0.3">
      <c r="C3916" t="s">
        <v>3251</v>
      </c>
    </row>
    <row r="3918" spans="3:3" x14ac:dyDescent="0.3">
      <c r="C3918" t="s">
        <v>2769</v>
      </c>
    </row>
    <row r="3919" spans="3:3" x14ac:dyDescent="0.3">
      <c r="C3919" t="s">
        <v>2770</v>
      </c>
    </row>
    <row r="3920" spans="3:3" x14ac:dyDescent="0.3">
      <c r="C3920" t="s">
        <v>2771</v>
      </c>
    </row>
    <row r="3921" spans="3:3" x14ac:dyDescent="0.3">
      <c r="C3921" t="s">
        <v>2772</v>
      </c>
    </row>
    <row r="3922" spans="3:3" x14ac:dyDescent="0.3">
      <c r="C3922" t="s">
        <v>2773</v>
      </c>
    </row>
    <row r="3923" spans="3:3" x14ac:dyDescent="0.3">
      <c r="C3923" t="s">
        <v>2774</v>
      </c>
    </row>
    <row r="3924" spans="3:3" x14ac:dyDescent="0.3">
      <c r="C3924" t="s">
        <v>2775</v>
      </c>
    </row>
    <row r="3925" spans="3:3" x14ac:dyDescent="0.3">
      <c r="C3925" t="s">
        <v>2776</v>
      </c>
    </row>
    <row r="3926" spans="3:3" x14ac:dyDescent="0.3">
      <c r="C3926" t="s">
        <v>2777</v>
      </c>
    </row>
    <row r="3927" spans="3:3" x14ac:dyDescent="0.3">
      <c r="C3927" t="s">
        <v>2778</v>
      </c>
    </row>
    <row r="3928" spans="3:3" x14ac:dyDescent="0.3">
      <c r="C3928">
        <v>17</v>
      </c>
    </row>
    <row r="3929" spans="3:3" x14ac:dyDescent="0.3">
      <c r="C3929" t="s">
        <v>89</v>
      </c>
    </row>
    <row r="3930" spans="3:3" x14ac:dyDescent="0.3">
      <c r="C3930" t="s">
        <v>2779</v>
      </c>
    </row>
    <row r="3931" spans="3:3" x14ac:dyDescent="0.3">
      <c r="C3931" t="s">
        <v>2780</v>
      </c>
    </row>
    <row r="3932" spans="3:3" x14ac:dyDescent="0.3">
      <c r="C3932" t="s">
        <v>2781</v>
      </c>
    </row>
    <row r="3933" spans="3:3" x14ac:dyDescent="0.3">
      <c r="C3933" t="s">
        <v>2782</v>
      </c>
    </row>
    <row r="3934" spans="3:3" x14ac:dyDescent="0.3">
      <c r="C3934" t="s">
        <v>2783</v>
      </c>
    </row>
    <row r="3935" spans="3:3" x14ac:dyDescent="0.3">
      <c r="C3935" t="s">
        <v>2784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9"/>
  <sheetViews>
    <sheetView topLeftCell="F376" zoomScale="120" zoomScaleNormal="120" workbookViewId="0">
      <selection activeCell="I395" sqref="I395"/>
    </sheetView>
  </sheetViews>
  <sheetFormatPr defaultRowHeight="14.4" x14ac:dyDescent="0.3"/>
  <cols>
    <col min="1" max="1" width="57.5546875" bestFit="1" customWidth="1"/>
    <col min="2" max="2" width="8.44140625" style="5" bestFit="1" customWidth="1"/>
    <col min="3" max="3" width="49.44140625" bestFit="1" customWidth="1"/>
    <col min="4" max="4" width="8.44140625" style="5" bestFit="1" customWidth="1"/>
    <col min="5" max="5" width="44.44140625" bestFit="1" customWidth="1"/>
    <col min="6" max="6" width="8.44140625" style="5" bestFit="1" customWidth="1"/>
    <col min="7" max="7" width="44.44140625" bestFit="1" customWidth="1"/>
    <col min="8" max="8" width="8.44140625" style="5" bestFit="1" customWidth="1"/>
    <col min="9" max="9" width="104.5546875" bestFit="1" customWidth="1"/>
  </cols>
  <sheetData>
    <row r="1" spans="1:9" x14ac:dyDescent="0.3">
      <c r="A1" s="6" t="s">
        <v>1460</v>
      </c>
      <c r="B1" s="4"/>
      <c r="C1" s="6" t="s">
        <v>61</v>
      </c>
      <c r="D1" s="4"/>
      <c r="E1" s="13" t="s">
        <v>2958</v>
      </c>
      <c r="F1" s="4"/>
      <c r="G1" s="13" t="s">
        <v>3354</v>
      </c>
      <c r="H1" s="4"/>
      <c r="I1" s="13" t="s">
        <v>3355</v>
      </c>
    </row>
    <row r="2" spans="1:9" x14ac:dyDescent="0.3">
      <c r="A2" s="8" t="s">
        <v>18</v>
      </c>
      <c r="C2" s="10" t="s">
        <v>18</v>
      </c>
      <c r="E2" s="10" t="s">
        <v>18</v>
      </c>
      <c r="G2" s="10" t="s">
        <v>18</v>
      </c>
      <c r="I2" s="10" t="s">
        <v>18</v>
      </c>
    </row>
    <row r="3" spans="1:9" x14ac:dyDescent="0.3">
      <c r="A3" s="8" t="s">
        <v>26</v>
      </c>
      <c r="C3" s="10" t="s">
        <v>1336</v>
      </c>
      <c r="E3" s="10" t="s">
        <v>1336</v>
      </c>
      <c r="G3" s="10" t="s">
        <v>1336</v>
      </c>
      <c r="I3" s="10" t="s">
        <v>1336</v>
      </c>
    </row>
    <row r="4" spans="1:9" x14ac:dyDescent="0.3">
      <c r="A4" s="8" t="s">
        <v>27</v>
      </c>
      <c r="C4" s="10" t="s">
        <v>1337</v>
      </c>
      <c r="E4" s="10" t="s">
        <v>1337</v>
      </c>
      <c r="G4" s="10" t="s">
        <v>1337</v>
      </c>
      <c r="I4" s="10" t="s">
        <v>1337</v>
      </c>
    </row>
    <row r="5" spans="1:9" x14ac:dyDescent="0.3">
      <c r="A5" s="8" t="s">
        <v>28</v>
      </c>
      <c r="C5" s="10" t="s">
        <v>1343</v>
      </c>
      <c r="E5" s="10" t="s">
        <v>1343</v>
      </c>
      <c r="G5" s="10" t="s">
        <v>1343</v>
      </c>
      <c r="I5" s="10" t="s">
        <v>1343</v>
      </c>
    </row>
    <row r="6" spans="1:9" x14ac:dyDescent="0.3">
      <c r="A6" s="8" t="s">
        <v>2932</v>
      </c>
      <c r="C6" s="10" t="s">
        <v>1352</v>
      </c>
      <c r="E6" s="10" t="s">
        <v>3909</v>
      </c>
      <c r="G6" s="10" t="s">
        <v>4091</v>
      </c>
      <c r="I6" s="10" t="s">
        <v>3323</v>
      </c>
    </row>
    <row r="7" spans="1:9" x14ac:dyDescent="0.3">
      <c r="A7" s="8" t="s">
        <v>2933</v>
      </c>
      <c r="C7" s="10" t="s">
        <v>1353</v>
      </c>
      <c r="E7" s="10" t="s">
        <v>3910</v>
      </c>
      <c r="G7" s="10" t="s">
        <v>4092</v>
      </c>
      <c r="I7" s="10" t="s">
        <v>3324</v>
      </c>
    </row>
    <row r="8" spans="1:9" x14ac:dyDescent="0.3">
      <c r="A8" s="8" t="s">
        <v>2934</v>
      </c>
      <c r="C8" s="10" t="s">
        <v>1354</v>
      </c>
      <c r="E8" s="10" t="s">
        <v>1354</v>
      </c>
      <c r="G8" s="10" t="s">
        <v>1354</v>
      </c>
      <c r="I8" s="10" t="s">
        <v>1354</v>
      </c>
    </row>
    <row r="9" spans="1:9" x14ac:dyDescent="0.3">
      <c r="A9" s="8" t="s">
        <v>2935</v>
      </c>
      <c r="C9" s="10" t="s">
        <v>1355</v>
      </c>
      <c r="E9" s="10" t="s">
        <v>3911</v>
      </c>
      <c r="G9" s="10" t="s">
        <v>4093</v>
      </c>
      <c r="I9" s="10" t="s">
        <v>3325</v>
      </c>
    </row>
    <row r="10" spans="1:9" x14ac:dyDescent="0.3">
      <c r="A10" s="8" t="s">
        <v>2936</v>
      </c>
      <c r="C10" s="10" t="s">
        <v>1356</v>
      </c>
      <c r="E10" s="10" t="s">
        <v>3912</v>
      </c>
      <c r="G10" s="10" t="s">
        <v>4094</v>
      </c>
      <c r="I10" s="10" t="s">
        <v>3326</v>
      </c>
    </row>
    <row r="11" spans="1:9" x14ac:dyDescent="0.3">
      <c r="A11" s="8" t="s">
        <v>2937</v>
      </c>
      <c r="C11" s="10" t="s">
        <v>1357</v>
      </c>
      <c r="E11" s="10" t="s">
        <v>1357</v>
      </c>
      <c r="G11" s="10" t="s">
        <v>1357</v>
      </c>
      <c r="I11" s="10" t="s">
        <v>1357</v>
      </c>
    </row>
    <row r="12" spans="1:9" x14ac:dyDescent="0.3">
      <c r="A12" s="8" t="s">
        <v>2938</v>
      </c>
      <c r="C12" s="10" t="s">
        <v>1358</v>
      </c>
      <c r="E12" s="10" t="s">
        <v>3913</v>
      </c>
      <c r="G12" s="10" t="s">
        <v>4095</v>
      </c>
      <c r="I12" s="10" t="s">
        <v>3327</v>
      </c>
    </row>
    <row r="13" spans="1:9" x14ac:dyDescent="0.3">
      <c r="A13" s="8" t="s">
        <v>2939</v>
      </c>
      <c r="C13" s="10" t="s">
        <v>1359</v>
      </c>
      <c r="E13" s="10" t="s">
        <v>3914</v>
      </c>
      <c r="G13" s="10" t="s">
        <v>4096</v>
      </c>
      <c r="I13" s="10" t="s">
        <v>3328</v>
      </c>
    </row>
    <row r="14" spans="1:9" x14ac:dyDescent="0.3">
      <c r="A14" s="8" t="s">
        <v>19</v>
      </c>
      <c r="C14" s="10" t="s">
        <v>19</v>
      </c>
      <c r="E14" s="10" t="s">
        <v>19</v>
      </c>
      <c r="G14" s="10" t="s">
        <v>19</v>
      </c>
      <c r="I14" s="10" t="s">
        <v>19</v>
      </c>
    </row>
    <row r="15" spans="1:9" x14ac:dyDescent="0.3">
      <c r="A15" s="8" t="s">
        <v>30</v>
      </c>
      <c r="C15" s="10" t="s">
        <v>1344</v>
      </c>
      <c r="E15" s="10" t="s">
        <v>1344</v>
      </c>
      <c r="G15" s="10" t="s">
        <v>1344</v>
      </c>
      <c r="I15" s="10" t="s">
        <v>1344</v>
      </c>
    </row>
    <row r="16" spans="1:9" x14ac:dyDescent="0.3">
      <c r="A16" s="8" t="s">
        <v>2932</v>
      </c>
      <c r="C16" s="10" t="s">
        <v>1352</v>
      </c>
      <c r="E16" s="10" t="s">
        <v>3909</v>
      </c>
      <c r="G16" s="10" t="s">
        <v>4091</v>
      </c>
      <c r="I16" s="10" t="s">
        <v>3323</v>
      </c>
    </row>
    <row r="17" spans="1:9" x14ac:dyDescent="0.3">
      <c r="A17" s="8" t="s">
        <v>2933</v>
      </c>
      <c r="C17" s="10" t="s">
        <v>1353</v>
      </c>
      <c r="E17" s="10" t="s">
        <v>3910</v>
      </c>
      <c r="G17" s="10" t="s">
        <v>4092</v>
      </c>
      <c r="I17" s="10" t="s">
        <v>3324</v>
      </c>
    </row>
    <row r="18" spans="1:9" x14ac:dyDescent="0.3">
      <c r="A18" s="8" t="s">
        <v>2934</v>
      </c>
      <c r="C18" s="10" t="s">
        <v>1354</v>
      </c>
      <c r="E18" s="10" t="s">
        <v>1354</v>
      </c>
      <c r="G18" s="10" t="s">
        <v>1354</v>
      </c>
      <c r="I18" s="10" t="s">
        <v>1354</v>
      </c>
    </row>
    <row r="19" spans="1:9" x14ac:dyDescent="0.3">
      <c r="A19" s="8" t="s">
        <v>2935</v>
      </c>
      <c r="C19" s="10" t="s">
        <v>1355</v>
      </c>
      <c r="E19" s="10" t="s">
        <v>3911</v>
      </c>
      <c r="G19" s="10" t="s">
        <v>4093</v>
      </c>
      <c r="I19" s="10" t="s">
        <v>3325</v>
      </c>
    </row>
    <row r="20" spans="1:9" x14ac:dyDescent="0.3">
      <c r="A20" s="8" t="s">
        <v>2936</v>
      </c>
      <c r="C20" s="10" t="s">
        <v>1356</v>
      </c>
      <c r="E20" s="10" t="s">
        <v>3912</v>
      </c>
      <c r="G20" s="10" t="s">
        <v>4094</v>
      </c>
      <c r="I20" s="10" t="s">
        <v>3326</v>
      </c>
    </row>
    <row r="21" spans="1:9" x14ac:dyDescent="0.3">
      <c r="A21" s="8" t="s">
        <v>2937</v>
      </c>
      <c r="C21" s="10" t="s">
        <v>1357</v>
      </c>
      <c r="E21" s="10" t="s">
        <v>1357</v>
      </c>
      <c r="G21" s="10" t="s">
        <v>1357</v>
      </c>
      <c r="I21" s="10" t="s">
        <v>1357</v>
      </c>
    </row>
    <row r="22" spans="1:9" x14ac:dyDescent="0.3">
      <c r="A22" s="8" t="s">
        <v>2938</v>
      </c>
      <c r="C22" s="10" t="s">
        <v>1358</v>
      </c>
      <c r="E22" s="10" t="s">
        <v>3913</v>
      </c>
      <c r="G22" s="10" t="s">
        <v>4095</v>
      </c>
      <c r="I22" s="10" t="s">
        <v>3327</v>
      </c>
    </row>
    <row r="23" spans="1:9" x14ac:dyDescent="0.3">
      <c r="A23" s="8" t="s">
        <v>2939</v>
      </c>
      <c r="C23" s="10" t="s">
        <v>1359</v>
      </c>
      <c r="E23" s="10" t="s">
        <v>3914</v>
      </c>
      <c r="G23" s="10" t="s">
        <v>4096</v>
      </c>
      <c r="I23" s="10" t="s">
        <v>3328</v>
      </c>
    </row>
    <row r="24" spans="1:9" x14ac:dyDescent="0.3">
      <c r="A24" s="8" t="s">
        <v>19</v>
      </c>
      <c r="C24" s="10" t="s">
        <v>19</v>
      </c>
      <c r="E24" s="10" t="s">
        <v>19</v>
      </c>
      <c r="G24" s="10" t="s">
        <v>19</v>
      </c>
      <c r="I24" s="10" t="s">
        <v>19</v>
      </c>
    </row>
    <row r="25" spans="1:9" x14ac:dyDescent="0.3">
      <c r="A25" s="8" t="s">
        <v>32</v>
      </c>
      <c r="C25" s="10" t="s">
        <v>1345</v>
      </c>
      <c r="E25" s="10" t="s">
        <v>1345</v>
      </c>
      <c r="G25" s="10" t="s">
        <v>1345</v>
      </c>
      <c r="I25" s="10" t="s">
        <v>1345</v>
      </c>
    </row>
    <row r="26" spans="1:9" x14ac:dyDescent="0.3">
      <c r="A26" s="8" t="s">
        <v>2932</v>
      </c>
      <c r="C26" s="10" t="s">
        <v>1352</v>
      </c>
      <c r="E26" s="10" t="s">
        <v>3909</v>
      </c>
      <c r="G26" s="10" t="s">
        <v>4091</v>
      </c>
      <c r="I26" s="10" t="s">
        <v>3323</v>
      </c>
    </row>
    <row r="27" spans="1:9" x14ac:dyDescent="0.3">
      <c r="A27" s="8" t="s">
        <v>2933</v>
      </c>
      <c r="C27" s="10" t="s">
        <v>1353</v>
      </c>
      <c r="E27" s="10" t="s">
        <v>3910</v>
      </c>
      <c r="G27" s="10" t="s">
        <v>4092</v>
      </c>
      <c r="I27" s="10" t="s">
        <v>3324</v>
      </c>
    </row>
    <row r="28" spans="1:9" x14ac:dyDescent="0.3">
      <c r="A28" s="8" t="s">
        <v>2934</v>
      </c>
      <c r="C28" s="10" t="s">
        <v>1354</v>
      </c>
      <c r="E28" s="10" t="s">
        <v>1354</v>
      </c>
      <c r="G28" s="10" t="s">
        <v>1354</v>
      </c>
      <c r="I28" s="10" t="s">
        <v>1354</v>
      </c>
    </row>
    <row r="29" spans="1:9" x14ac:dyDescent="0.3">
      <c r="A29" s="8" t="s">
        <v>2935</v>
      </c>
      <c r="C29" s="10" t="s">
        <v>1355</v>
      </c>
      <c r="E29" s="10" t="s">
        <v>3911</v>
      </c>
      <c r="G29" s="10" t="s">
        <v>4093</v>
      </c>
      <c r="I29" s="10" t="s">
        <v>3325</v>
      </c>
    </row>
    <row r="30" spans="1:9" x14ac:dyDescent="0.3">
      <c r="A30" s="8" t="s">
        <v>2936</v>
      </c>
      <c r="C30" s="10" t="s">
        <v>1356</v>
      </c>
      <c r="E30" s="10" t="s">
        <v>3912</v>
      </c>
      <c r="G30" s="10" t="s">
        <v>4094</v>
      </c>
      <c r="I30" s="10" t="s">
        <v>3326</v>
      </c>
    </row>
    <row r="31" spans="1:9" x14ac:dyDescent="0.3">
      <c r="A31" s="8" t="s">
        <v>2937</v>
      </c>
      <c r="C31" s="10" t="s">
        <v>1357</v>
      </c>
      <c r="E31" s="10" t="s">
        <v>1357</v>
      </c>
      <c r="G31" s="10" t="s">
        <v>1357</v>
      </c>
      <c r="I31" s="10" t="s">
        <v>1357</v>
      </c>
    </row>
    <row r="32" spans="1:9" x14ac:dyDescent="0.3">
      <c r="A32" s="8" t="s">
        <v>2938</v>
      </c>
      <c r="C32" s="10" t="s">
        <v>1358</v>
      </c>
      <c r="E32" s="10" t="s">
        <v>3913</v>
      </c>
      <c r="G32" s="10" t="s">
        <v>4095</v>
      </c>
      <c r="I32" s="10" t="s">
        <v>3327</v>
      </c>
    </row>
    <row r="33" spans="1:9" x14ac:dyDescent="0.3">
      <c r="A33" s="8" t="s">
        <v>2939</v>
      </c>
      <c r="C33" s="10" t="s">
        <v>1359</v>
      </c>
      <c r="E33" s="10" t="s">
        <v>3914</v>
      </c>
      <c r="G33" s="10" t="s">
        <v>4096</v>
      </c>
      <c r="I33" s="10" t="s">
        <v>3328</v>
      </c>
    </row>
    <row r="34" spans="1:9" x14ac:dyDescent="0.3">
      <c r="A34" s="8" t="s">
        <v>20</v>
      </c>
      <c r="C34" s="10" t="s">
        <v>20</v>
      </c>
      <c r="E34" s="10" t="s">
        <v>20</v>
      </c>
      <c r="G34" s="10" t="s">
        <v>20</v>
      </c>
      <c r="I34" s="10" t="s">
        <v>20</v>
      </c>
    </row>
    <row r="35" spans="1:9" x14ac:dyDescent="0.3">
      <c r="A35" s="8" t="s">
        <v>21</v>
      </c>
      <c r="C35" s="10" t="s">
        <v>21</v>
      </c>
      <c r="E35" s="10" t="s">
        <v>21</v>
      </c>
      <c r="G35" s="10" t="s">
        <v>21</v>
      </c>
      <c r="I35" s="10" t="s">
        <v>21</v>
      </c>
    </row>
    <row r="36" spans="1:9" x14ac:dyDescent="0.3">
      <c r="A36" s="8" t="s">
        <v>34</v>
      </c>
      <c r="C36" s="10" t="s">
        <v>1338</v>
      </c>
      <c r="E36" s="10" t="s">
        <v>1338</v>
      </c>
      <c r="G36" s="10" t="s">
        <v>1338</v>
      </c>
      <c r="I36" s="10" t="s">
        <v>1338</v>
      </c>
    </row>
    <row r="37" spans="1:9" x14ac:dyDescent="0.3">
      <c r="A37" s="8" t="s">
        <v>35</v>
      </c>
      <c r="C37" s="10" t="s">
        <v>1346</v>
      </c>
      <c r="E37" s="10" t="s">
        <v>1346</v>
      </c>
      <c r="G37" s="10" t="s">
        <v>1346</v>
      </c>
      <c r="I37" s="10" t="s">
        <v>1346</v>
      </c>
    </row>
    <row r="38" spans="1:9" x14ac:dyDescent="0.3">
      <c r="A38" s="8" t="s">
        <v>2932</v>
      </c>
      <c r="C38" s="10" t="s">
        <v>1352</v>
      </c>
      <c r="E38" s="10" t="s">
        <v>3909</v>
      </c>
      <c r="G38" s="10" t="s">
        <v>4091</v>
      </c>
      <c r="I38" s="10" t="s">
        <v>3323</v>
      </c>
    </row>
    <row r="39" spans="1:9" x14ac:dyDescent="0.3">
      <c r="A39" s="8" t="s">
        <v>2933</v>
      </c>
      <c r="C39" s="10" t="s">
        <v>1353</v>
      </c>
      <c r="E39" s="10" t="s">
        <v>3910</v>
      </c>
      <c r="G39" s="10" t="s">
        <v>4092</v>
      </c>
      <c r="I39" s="10" t="s">
        <v>3324</v>
      </c>
    </row>
    <row r="40" spans="1:9" x14ac:dyDescent="0.3">
      <c r="A40" s="8" t="s">
        <v>2934</v>
      </c>
      <c r="C40" s="10" t="s">
        <v>1354</v>
      </c>
      <c r="E40" s="10" t="s">
        <v>1354</v>
      </c>
      <c r="G40" s="10" t="s">
        <v>1354</v>
      </c>
      <c r="I40" s="10" t="s">
        <v>1354</v>
      </c>
    </row>
    <row r="41" spans="1:9" x14ac:dyDescent="0.3">
      <c r="A41" s="8" t="s">
        <v>2935</v>
      </c>
      <c r="C41" s="10" t="s">
        <v>1355</v>
      </c>
      <c r="E41" s="10" t="s">
        <v>3911</v>
      </c>
      <c r="G41" s="10" t="s">
        <v>4093</v>
      </c>
      <c r="I41" s="10" t="s">
        <v>3325</v>
      </c>
    </row>
    <row r="42" spans="1:9" x14ac:dyDescent="0.3">
      <c r="A42" s="8" t="s">
        <v>2936</v>
      </c>
      <c r="C42" s="10" t="s">
        <v>1356</v>
      </c>
      <c r="E42" s="10" t="s">
        <v>3912</v>
      </c>
      <c r="G42" s="10" t="s">
        <v>4094</v>
      </c>
      <c r="I42" s="10" t="s">
        <v>3326</v>
      </c>
    </row>
    <row r="43" spans="1:9" x14ac:dyDescent="0.3">
      <c r="A43" s="8" t="s">
        <v>2937</v>
      </c>
      <c r="C43" s="10" t="s">
        <v>1357</v>
      </c>
      <c r="E43" s="10" t="s">
        <v>1357</v>
      </c>
      <c r="G43" s="10" t="s">
        <v>1357</v>
      </c>
      <c r="I43" s="10" t="s">
        <v>1357</v>
      </c>
    </row>
    <row r="44" spans="1:9" x14ac:dyDescent="0.3">
      <c r="A44" s="8" t="s">
        <v>2938</v>
      </c>
      <c r="C44" s="10" t="s">
        <v>1358</v>
      </c>
      <c r="E44" s="10" t="s">
        <v>3913</v>
      </c>
      <c r="G44" s="10" t="s">
        <v>4095</v>
      </c>
      <c r="I44" s="10" t="s">
        <v>3327</v>
      </c>
    </row>
    <row r="45" spans="1:9" x14ac:dyDescent="0.3">
      <c r="A45" s="8" t="s">
        <v>2939</v>
      </c>
      <c r="C45" s="10" t="s">
        <v>1359</v>
      </c>
      <c r="E45" s="10" t="s">
        <v>3914</v>
      </c>
      <c r="G45" s="10" t="s">
        <v>4096</v>
      </c>
      <c r="I45" s="10" t="s">
        <v>3328</v>
      </c>
    </row>
    <row r="46" spans="1:9" x14ac:dyDescent="0.3">
      <c r="A46" s="8" t="s">
        <v>19</v>
      </c>
      <c r="C46" s="10" t="s">
        <v>19</v>
      </c>
      <c r="E46" s="10" t="s">
        <v>19</v>
      </c>
      <c r="G46" s="10" t="s">
        <v>19</v>
      </c>
      <c r="I46" s="10" t="s">
        <v>19</v>
      </c>
    </row>
    <row r="47" spans="1:9" x14ac:dyDescent="0.3">
      <c r="A47" s="8" t="s">
        <v>37</v>
      </c>
      <c r="C47" s="10" t="s">
        <v>1347</v>
      </c>
      <c r="E47" s="10" t="s">
        <v>1347</v>
      </c>
      <c r="G47" s="10" t="s">
        <v>1347</v>
      </c>
      <c r="I47" s="10" t="s">
        <v>1347</v>
      </c>
    </row>
    <row r="48" spans="1:9" x14ac:dyDescent="0.3">
      <c r="A48" s="8" t="s">
        <v>2932</v>
      </c>
      <c r="C48" s="10" t="s">
        <v>1352</v>
      </c>
      <c r="E48" s="10" t="s">
        <v>3909</v>
      </c>
      <c r="G48" s="10" t="s">
        <v>4091</v>
      </c>
      <c r="I48" s="10" t="s">
        <v>3323</v>
      </c>
    </row>
    <row r="49" spans="1:9" x14ac:dyDescent="0.3">
      <c r="A49" s="8" t="s">
        <v>2933</v>
      </c>
      <c r="C49" s="10" t="s">
        <v>1353</v>
      </c>
      <c r="E49" s="10" t="s">
        <v>3910</v>
      </c>
      <c r="G49" s="10" t="s">
        <v>4092</v>
      </c>
      <c r="I49" s="10" t="s">
        <v>3324</v>
      </c>
    </row>
    <row r="50" spans="1:9" x14ac:dyDescent="0.3">
      <c r="A50" s="8" t="s">
        <v>2934</v>
      </c>
      <c r="C50" s="10" t="s">
        <v>1354</v>
      </c>
      <c r="E50" s="10" t="s">
        <v>1354</v>
      </c>
      <c r="G50" s="10" t="s">
        <v>1354</v>
      </c>
      <c r="I50" s="10" t="s">
        <v>1354</v>
      </c>
    </row>
    <row r="51" spans="1:9" x14ac:dyDescent="0.3">
      <c r="A51" s="8" t="s">
        <v>2935</v>
      </c>
      <c r="C51" s="10" t="s">
        <v>1355</v>
      </c>
      <c r="E51" s="10" t="s">
        <v>3911</v>
      </c>
      <c r="G51" s="10" t="s">
        <v>4093</v>
      </c>
      <c r="I51" s="10" t="s">
        <v>3325</v>
      </c>
    </row>
    <row r="52" spans="1:9" x14ac:dyDescent="0.3">
      <c r="A52" s="8" t="s">
        <v>2936</v>
      </c>
      <c r="C52" s="10" t="s">
        <v>1356</v>
      </c>
      <c r="E52" s="10" t="s">
        <v>3912</v>
      </c>
      <c r="G52" s="10" t="s">
        <v>4094</v>
      </c>
      <c r="I52" s="10" t="s">
        <v>3326</v>
      </c>
    </row>
    <row r="53" spans="1:9" x14ac:dyDescent="0.3">
      <c r="A53" s="8" t="s">
        <v>2937</v>
      </c>
      <c r="C53" s="10" t="s">
        <v>1357</v>
      </c>
      <c r="E53" s="10" t="s">
        <v>1357</v>
      </c>
      <c r="G53" s="10" t="s">
        <v>1357</v>
      </c>
      <c r="I53" s="10" t="s">
        <v>1357</v>
      </c>
    </row>
    <row r="54" spans="1:9" x14ac:dyDescent="0.3">
      <c r="A54" s="8" t="s">
        <v>2938</v>
      </c>
      <c r="C54" s="10" t="s">
        <v>1358</v>
      </c>
      <c r="E54" s="10" t="s">
        <v>3913</v>
      </c>
      <c r="G54" s="10" t="s">
        <v>4095</v>
      </c>
      <c r="I54" s="10" t="s">
        <v>3327</v>
      </c>
    </row>
    <row r="55" spans="1:9" x14ac:dyDescent="0.3">
      <c r="A55" s="8" t="s">
        <v>2939</v>
      </c>
      <c r="C55" s="10" t="s">
        <v>1359</v>
      </c>
      <c r="E55" s="10" t="s">
        <v>3914</v>
      </c>
      <c r="G55" s="10" t="s">
        <v>4096</v>
      </c>
      <c r="I55" s="10" t="s">
        <v>3328</v>
      </c>
    </row>
    <row r="56" spans="1:9" x14ac:dyDescent="0.3">
      <c r="A56" s="8" t="s">
        <v>19</v>
      </c>
      <c r="C56" s="10" t="s">
        <v>19</v>
      </c>
      <c r="E56" s="10" t="s">
        <v>19</v>
      </c>
      <c r="G56" s="10" t="s">
        <v>19</v>
      </c>
      <c r="I56" s="10" t="s">
        <v>19</v>
      </c>
    </row>
    <row r="57" spans="1:9" x14ac:dyDescent="0.3">
      <c r="A57" s="8" t="s">
        <v>39</v>
      </c>
      <c r="C57" s="10" t="s">
        <v>1348</v>
      </c>
      <c r="E57" s="10" t="s">
        <v>1348</v>
      </c>
      <c r="G57" s="10" t="s">
        <v>1348</v>
      </c>
      <c r="I57" s="10" t="s">
        <v>1348</v>
      </c>
    </row>
    <row r="58" spans="1:9" x14ac:dyDescent="0.3">
      <c r="A58" s="8" t="s">
        <v>2932</v>
      </c>
      <c r="C58" s="10" t="s">
        <v>1352</v>
      </c>
      <c r="E58" s="10" t="s">
        <v>3909</v>
      </c>
      <c r="G58" s="10" t="s">
        <v>4091</v>
      </c>
      <c r="I58" s="10" t="s">
        <v>3323</v>
      </c>
    </row>
    <row r="59" spans="1:9" x14ac:dyDescent="0.3">
      <c r="A59" s="8" t="s">
        <v>2933</v>
      </c>
      <c r="C59" s="10" t="s">
        <v>1353</v>
      </c>
      <c r="E59" s="10" t="s">
        <v>3910</v>
      </c>
      <c r="G59" s="10" t="s">
        <v>4092</v>
      </c>
      <c r="I59" s="10" t="s">
        <v>3324</v>
      </c>
    </row>
    <row r="60" spans="1:9" x14ac:dyDescent="0.3">
      <c r="A60" s="8" t="s">
        <v>2934</v>
      </c>
      <c r="C60" s="10" t="s">
        <v>1354</v>
      </c>
      <c r="E60" s="10" t="s">
        <v>1354</v>
      </c>
      <c r="G60" s="10" t="s">
        <v>1354</v>
      </c>
      <c r="I60" s="10" t="s">
        <v>1354</v>
      </c>
    </row>
    <row r="61" spans="1:9" x14ac:dyDescent="0.3">
      <c r="A61" s="8" t="s">
        <v>2935</v>
      </c>
      <c r="C61" s="10" t="s">
        <v>1355</v>
      </c>
      <c r="E61" s="10" t="s">
        <v>3911</v>
      </c>
      <c r="G61" s="10" t="s">
        <v>4093</v>
      </c>
      <c r="I61" s="10" t="s">
        <v>3325</v>
      </c>
    </row>
    <row r="62" spans="1:9" x14ac:dyDescent="0.3">
      <c r="A62" s="8" t="s">
        <v>2936</v>
      </c>
      <c r="C62" s="10" t="s">
        <v>1356</v>
      </c>
      <c r="E62" s="10" t="s">
        <v>3912</v>
      </c>
      <c r="G62" s="10" t="s">
        <v>4094</v>
      </c>
      <c r="I62" s="10" t="s">
        <v>3326</v>
      </c>
    </row>
    <row r="63" spans="1:9" x14ac:dyDescent="0.3">
      <c r="A63" s="8" t="s">
        <v>2937</v>
      </c>
      <c r="C63" s="10" t="s">
        <v>1357</v>
      </c>
      <c r="E63" s="10" t="s">
        <v>1357</v>
      </c>
      <c r="G63" s="10" t="s">
        <v>1357</v>
      </c>
      <c r="I63" s="10" t="s">
        <v>1357</v>
      </c>
    </row>
    <row r="64" spans="1:9" x14ac:dyDescent="0.3">
      <c r="A64" s="8" t="s">
        <v>2938</v>
      </c>
      <c r="C64" s="10" t="s">
        <v>1358</v>
      </c>
      <c r="E64" s="10" t="s">
        <v>3913</v>
      </c>
      <c r="G64" s="10" t="s">
        <v>4095</v>
      </c>
      <c r="I64" s="10" t="s">
        <v>3327</v>
      </c>
    </row>
    <row r="65" spans="1:9" x14ac:dyDescent="0.3">
      <c r="A65" s="8" t="s">
        <v>2939</v>
      </c>
      <c r="C65" s="10" t="s">
        <v>1359</v>
      </c>
      <c r="E65" s="10" t="s">
        <v>3914</v>
      </c>
      <c r="G65" s="10" t="s">
        <v>4096</v>
      </c>
      <c r="I65" s="10" t="s">
        <v>3328</v>
      </c>
    </row>
    <row r="66" spans="1:9" x14ac:dyDescent="0.3">
      <c r="A66" s="8" t="s">
        <v>19</v>
      </c>
      <c r="C66" s="10" t="s">
        <v>19</v>
      </c>
      <c r="E66" s="10" t="s">
        <v>19</v>
      </c>
      <c r="G66" s="10" t="s">
        <v>19</v>
      </c>
      <c r="I66" s="10" t="s">
        <v>19</v>
      </c>
    </row>
    <row r="67" spans="1:9" x14ac:dyDescent="0.3">
      <c r="A67" s="8" t="s">
        <v>40</v>
      </c>
      <c r="C67" s="10" t="s">
        <v>1349</v>
      </c>
      <c r="E67" s="10" t="s">
        <v>1349</v>
      </c>
      <c r="G67" s="10" t="s">
        <v>1349</v>
      </c>
      <c r="I67" s="10" t="s">
        <v>1349</v>
      </c>
    </row>
    <row r="68" spans="1:9" x14ac:dyDescent="0.3">
      <c r="A68" s="8" t="s">
        <v>2932</v>
      </c>
      <c r="C68" s="10" t="s">
        <v>1352</v>
      </c>
      <c r="E68" s="10" t="s">
        <v>3909</v>
      </c>
      <c r="G68" s="10" t="s">
        <v>4091</v>
      </c>
      <c r="I68" s="10" t="s">
        <v>3323</v>
      </c>
    </row>
    <row r="69" spans="1:9" x14ac:dyDescent="0.3">
      <c r="A69" s="8" t="s">
        <v>2933</v>
      </c>
      <c r="C69" s="10" t="s">
        <v>1353</v>
      </c>
      <c r="E69" s="10" t="s">
        <v>3910</v>
      </c>
      <c r="G69" s="10" t="s">
        <v>4092</v>
      </c>
      <c r="I69" s="10" t="s">
        <v>3324</v>
      </c>
    </row>
    <row r="70" spans="1:9" x14ac:dyDescent="0.3">
      <c r="A70" s="8" t="s">
        <v>2934</v>
      </c>
      <c r="C70" s="10" t="s">
        <v>1354</v>
      </c>
      <c r="E70" s="10" t="s">
        <v>1354</v>
      </c>
      <c r="G70" s="10" t="s">
        <v>1354</v>
      </c>
      <c r="I70" s="10" t="s">
        <v>1354</v>
      </c>
    </row>
    <row r="71" spans="1:9" x14ac:dyDescent="0.3">
      <c r="A71" s="8" t="s">
        <v>2935</v>
      </c>
      <c r="C71" s="10" t="s">
        <v>1355</v>
      </c>
      <c r="E71" s="10" t="s">
        <v>3911</v>
      </c>
      <c r="G71" s="10" t="s">
        <v>4093</v>
      </c>
      <c r="I71" s="10" t="s">
        <v>3325</v>
      </c>
    </row>
    <row r="72" spans="1:9" x14ac:dyDescent="0.3">
      <c r="A72" s="8" t="s">
        <v>2936</v>
      </c>
      <c r="C72" s="10" t="s">
        <v>1356</v>
      </c>
      <c r="E72" s="10" t="s">
        <v>3912</v>
      </c>
      <c r="G72" s="10" t="s">
        <v>4094</v>
      </c>
      <c r="I72" s="10" t="s">
        <v>3326</v>
      </c>
    </row>
    <row r="73" spans="1:9" x14ac:dyDescent="0.3">
      <c r="A73" s="8" t="s">
        <v>2937</v>
      </c>
      <c r="C73" s="10" t="s">
        <v>1357</v>
      </c>
      <c r="E73" s="10" t="s">
        <v>1357</v>
      </c>
      <c r="G73" s="10" t="s">
        <v>1357</v>
      </c>
      <c r="I73" s="10" t="s">
        <v>1357</v>
      </c>
    </row>
    <row r="74" spans="1:9" x14ac:dyDescent="0.3">
      <c r="A74" s="8" t="s">
        <v>2938</v>
      </c>
      <c r="C74" s="10" t="s">
        <v>1358</v>
      </c>
      <c r="E74" s="10" t="s">
        <v>3913</v>
      </c>
      <c r="G74" s="10" t="s">
        <v>4095</v>
      </c>
      <c r="I74" s="10" t="s">
        <v>3327</v>
      </c>
    </row>
    <row r="75" spans="1:9" x14ac:dyDescent="0.3">
      <c r="A75" s="8" t="s">
        <v>2939</v>
      </c>
      <c r="C75" s="10" t="s">
        <v>1359</v>
      </c>
      <c r="E75" s="10" t="s">
        <v>3914</v>
      </c>
      <c r="G75" s="10" t="s">
        <v>4096</v>
      </c>
      <c r="I75" s="10" t="s">
        <v>3328</v>
      </c>
    </row>
    <row r="76" spans="1:9" x14ac:dyDescent="0.3">
      <c r="A76" s="8" t="s">
        <v>19</v>
      </c>
      <c r="C76" s="10" t="s">
        <v>19</v>
      </c>
      <c r="E76" s="10" t="s">
        <v>19</v>
      </c>
      <c r="G76" s="10" t="s">
        <v>19</v>
      </c>
      <c r="I76" s="10" t="s">
        <v>19</v>
      </c>
    </row>
    <row r="77" spans="1:9" x14ac:dyDescent="0.3">
      <c r="A77" s="8" t="s">
        <v>42</v>
      </c>
      <c r="C77" s="10" t="s">
        <v>1350</v>
      </c>
      <c r="E77" s="10" t="s">
        <v>1350</v>
      </c>
      <c r="G77" s="10" t="s">
        <v>1350</v>
      </c>
      <c r="I77" s="10" t="s">
        <v>1350</v>
      </c>
    </row>
    <row r="78" spans="1:9" x14ac:dyDescent="0.3">
      <c r="A78" s="8" t="s">
        <v>2932</v>
      </c>
      <c r="C78" s="10" t="s">
        <v>1352</v>
      </c>
      <c r="E78" s="10" t="s">
        <v>3909</v>
      </c>
      <c r="G78" s="10" t="s">
        <v>4091</v>
      </c>
      <c r="I78" s="10" t="s">
        <v>3323</v>
      </c>
    </row>
    <row r="79" spans="1:9" x14ac:dyDescent="0.3">
      <c r="A79" s="8" t="s">
        <v>2933</v>
      </c>
      <c r="C79" s="10" t="s">
        <v>1353</v>
      </c>
      <c r="E79" s="10" t="s">
        <v>3910</v>
      </c>
      <c r="G79" s="10" t="s">
        <v>4092</v>
      </c>
      <c r="I79" s="10" t="s">
        <v>3324</v>
      </c>
    </row>
    <row r="80" spans="1:9" x14ac:dyDescent="0.3">
      <c r="A80" s="8" t="s">
        <v>2934</v>
      </c>
      <c r="C80" s="10" t="s">
        <v>1354</v>
      </c>
      <c r="E80" s="10" t="s">
        <v>1354</v>
      </c>
      <c r="G80" s="10" t="s">
        <v>1354</v>
      </c>
      <c r="I80" s="10" t="s">
        <v>1354</v>
      </c>
    </row>
    <row r="81" spans="1:9" x14ac:dyDescent="0.3">
      <c r="A81" s="8" t="s">
        <v>2935</v>
      </c>
      <c r="C81" s="10" t="s">
        <v>1355</v>
      </c>
      <c r="E81" s="10" t="s">
        <v>3911</v>
      </c>
      <c r="G81" s="10" t="s">
        <v>4093</v>
      </c>
      <c r="I81" s="10" t="s">
        <v>3325</v>
      </c>
    </row>
    <row r="82" spans="1:9" x14ac:dyDescent="0.3">
      <c r="A82" s="8" t="s">
        <v>2936</v>
      </c>
      <c r="C82" s="10" t="s">
        <v>1356</v>
      </c>
      <c r="E82" s="10" t="s">
        <v>3912</v>
      </c>
      <c r="G82" s="10" t="s">
        <v>4094</v>
      </c>
      <c r="I82" s="10" t="s">
        <v>3326</v>
      </c>
    </row>
    <row r="83" spans="1:9" x14ac:dyDescent="0.3">
      <c r="A83" s="8" t="s">
        <v>2937</v>
      </c>
      <c r="C83" s="10" t="s">
        <v>1357</v>
      </c>
      <c r="E83" s="10" t="s">
        <v>1357</v>
      </c>
      <c r="G83" s="10" t="s">
        <v>1357</v>
      </c>
      <c r="I83" s="10" t="s">
        <v>1357</v>
      </c>
    </row>
    <row r="84" spans="1:9" x14ac:dyDescent="0.3">
      <c r="A84" s="8" t="s">
        <v>2938</v>
      </c>
      <c r="C84" s="10" t="s">
        <v>1358</v>
      </c>
      <c r="E84" s="10" t="s">
        <v>3913</v>
      </c>
      <c r="G84" s="10" t="s">
        <v>4095</v>
      </c>
      <c r="I84" s="10" t="s">
        <v>3327</v>
      </c>
    </row>
    <row r="85" spans="1:9" x14ac:dyDescent="0.3">
      <c r="A85" s="8" t="s">
        <v>2939</v>
      </c>
      <c r="C85" s="10" t="s">
        <v>1359</v>
      </c>
      <c r="E85" s="10" t="s">
        <v>3914</v>
      </c>
      <c r="G85" s="10" t="s">
        <v>4096</v>
      </c>
      <c r="I85" s="10" t="s">
        <v>3328</v>
      </c>
    </row>
    <row r="86" spans="1:9" x14ac:dyDescent="0.3">
      <c r="A86" s="8" t="s">
        <v>20</v>
      </c>
      <c r="C86" s="10" t="s">
        <v>20</v>
      </c>
      <c r="E86" s="10" t="s">
        <v>20</v>
      </c>
      <c r="G86" s="10" t="s">
        <v>20</v>
      </c>
      <c r="I86" s="10" t="s">
        <v>20</v>
      </c>
    </row>
    <row r="87" spans="1:9" x14ac:dyDescent="0.3">
      <c r="A87" s="8" t="s">
        <v>21</v>
      </c>
      <c r="C87" s="10" t="s">
        <v>21</v>
      </c>
      <c r="E87" s="10" t="s">
        <v>21</v>
      </c>
      <c r="G87" s="10" t="s">
        <v>21</v>
      </c>
      <c r="I87" s="10" t="s">
        <v>21</v>
      </c>
    </row>
    <row r="88" spans="1:9" x14ac:dyDescent="0.3">
      <c r="A88" s="8" t="s">
        <v>43</v>
      </c>
      <c r="C88" s="10" t="s">
        <v>1340</v>
      </c>
      <c r="E88" s="10" t="s">
        <v>1340</v>
      </c>
      <c r="G88" s="10" t="s">
        <v>1340</v>
      </c>
      <c r="I88" s="10" t="s">
        <v>1340</v>
      </c>
    </row>
    <row r="89" spans="1:9" x14ac:dyDescent="0.3">
      <c r="A89" s="8" t="s">
        <v>44</v>
      </c>
      <c r="C89" s="10" t="s">
        <v>1351</v>
      </c>
      <c r="E89" s="10" t="s">
        <v>1351</v>
      </c>
      <c r="G89" s="10" t="s">
        <v>1351</v>
      </c>
      <c r="I89" s="10" t="s">
        <v>1351</v>
      </c>
    </row>
    <row r="90" spans="1:9" x14ac:dyDescent="0.3">
      <c r="A90" s="8" t="s">
        <v>2932</v>
      </c>
      <c r="C90" s="10" t="s">
        <v>1352</v>
      </c>
      <c r="E90" s="10" t="s">
        <v>3909</v>
      </c>
      <c r="G90" s="10" t="s">
        <v>4091</v>
      </c>
      <c r="I90" s="10" t="s">
        <v>3323</v>
      </c>
    </row>
    <row r="91" spans="1:9" x14ac:dyDescent="0.3">
      <c r="A91" s="8" t="s">
        <v>2933</v>
      </c>
      <c r="C91" s="10" t="s">
        <v>1353</v>
      </c>
      <c r="E91" s="10" t="s">
        <v>3910</v>
      </c>
      <c r="G91" s="10" t="s">
        <v>4092</v>
      </c>
      <c r="I91" s="10" t="s">
        <v>3324</v>
      </c>
    </row>
    <row r="92" spans="1:9" x14ac:dyDescent="0.3">
      <c r="A92" s="8" t="s">
        <v>2934</v>
      </c>
      <c r="C92" s="10" t="s">
        <v>1354</v>
      </c>
      <c r="E92" s="10" t="s">
        <v>1354</v>
      </c>
      <c r="G92" s="10" t="s">
        <v>1354</v>
      </c>
      <c r="I92" s="10" t="s">
        <v>1354</v>
      </c>
    </row>
    <row r="93" spans="1:9" x14ac:dyDescent="0.3">
      <c r="A93" s="8" t="s">
        <v>2935</v>
      </c>
      <c r="C93" s="10" t="s">
        <v>1355</v>
      </c>
      <c r="E93" s="10" t="s">
        <v>3911</v>
      </c>
      <c r="G93" s="10" t="s">
        <v>4093</v>
      </c>
      <c r="I93" s="10" t="s">
        <v>3325</v>
      </c>
    </row>
    <row r="94" spans="1:9" x14ac:dyDescent="0.3">
      <c r="A94" s="8" t="s">
        <v>2936</v>
      </c>
      <c r="C94" s="10" t="s">
        <v>1356</v>
      </c>
      <c r="E94" s="10" t="s">
        <v>3912</v>
      </c>
      <c r="G94" s="10" t="s">
        <v>4094</v>
      </c>
      <c r="I94" s="10" t="s">
        <v>3326</v>
      </c>
    </row>
    <row r="95" spans="1:9" x14ac:dyDescent="0.3">
      <c r="A95" s="8" t="s">
        <v>2937</v>
      </c>
      <c r="C95" s="10" t="s">
        <v>1357</v>
      </c>
      <c r="E95" s="10" t="s">
        <v>1357</v>
      </c>
      <c r="G95" s="10" t="s">
        <v>1357</v>
      </c>
      <c r="I95" s="10" t="s">
        <v>1357</v>
      </c>
    </row>
    <row r="96" spans="1:9" x14ac:dyDescent="0.3">
      <c r="A96" s="8" t="s">
        <v>2938</v>
      </c>
      <c r="C96" s="10" t="s">
        <v>1358</v>
      </c>
      <c r="E96" s="10" t="s">
        <v>3913</v>
      </c>
      <c r="G96" s="10" t="s">
        <v>4095</v>
      </c>
      <c r="I96" s="10" t="s">
        <v>3327</v>
      </c>
    </row>
    <row r="97" spans="1:9" x14ac:dyDescent="0.3">
      <c r="A97" s="8" t="s">
        <v>2939</v>
      </c>
      <c r="C97" s="10" t="s">
        <v>1359</v>
      </c>
      <c r="E97" s="10" t="s">
        <v>3914</v>
      </c>
      <c r="G97" s="10" t="s">
        <v>4096</v>
      </c>
      <c r="I97" s="10" t="s">
        <v>3328</v>
      </c>
    </row>
    <row r="98" spans="1:9" x14ac:dyDescent="0.3">
      <c r="A98" s="8" t="s">
        <v>20</v>
      </c>
      <c r="C98" s="10" t="s">
        <v>20</v>
      </c>
      <c r="E98" s="10" t="s">
        <v>20</v>
      </c>
      <c r="G98" s="10" t="s">
        <v>20</v>
      </c>
      <c r="I98" s="10" t="s">
        <v>20</v>
      </c>
    </row>
    <row r="99" spans="1:9" x14ac:dyDescent="0.3">
      <c r="A99" s="8" t="s">
        <v>22</v>
      </c>
      <c r="C99" s="10" t="s">
        <v>22</v>
      </c>
      <c r="E99" s="10" t="s">
        <v>22</v>
      </c>
      <c r="G99" s="10" t="s">
        <v>22</v>
      </c>
      <c r="I99" s="10" t="s">
        <v>22</v>
      </c>
    </row>
    <row r="100" spans="1:9" x14ac:dyDescent="0.3">
      <c r="A100" s="8" t="s">
        <v>23</v>
      </c>
      <c r="C100" s="10" t="s">
        <v>23</v>
      </c>
      <c r="E100" s="10" t="s">
        <v>23</v>
      </c>
      <c r="G100" s="10" t="s">
        <v>23</v>
      </c>
      <c r="I100" s="10" t="s">
        <v>23</v>
      </c>
    </row>
    <row r="101" spans="1:9" x14ac:dyDescent="0.3">
      <c r="A101" s="8" t="s">
        <v>46</v>
      </c>
      <c r="C101" s="10" t="s">
        <v>1342</v>
      </c>
      <c r="E101" s="10" t="s">
        <v>1342</v>
      </c>
      <c r="G101" s="10" t="s">
        <v>1342</v>
      </c>
      <c r="I101" s="10" t="s">
        <v>1342</v>
      </c>
    </row>
    <row r="102" spans="1:9" x14ac:dyDescent="0.3">
      <c r="A102" s="8" t="s">
        <v>27</v>
      </c>
      <c r="C102" s="10" t="s">
        <v>1337</v>
      </c>
      <c r="E102" s="10" t="s">
        <v>1337</v>
      </c>
      <c r="G102" s="10" t="s">
        <v>1337</v>
      </c>
      <c r="I102" s="10" t="s">
        <v>1337</v>
      </c>
    </row>
    <row r="103" spans="1:9" x14ac:dyDescent="0.3">
      <c r="A103" s="8" t="s">
        <v>28</v>
      </c>
      <c r="C103" s="10" t="s">
        <v>1343</v>
      </c>
      <c r="E103" s="10" t="s">
        <v>1343</v>
      </c>
      <c r="G103" s="10" t="s">
        <v>1343</v>
      </c>
      <c r="I103" s="10" t="s">
        <v>1343</v>
      </c>
    </row>
    <row r="104" spans="1:9" x14ac:dyDescent="0.3">
      <c r="A104" s="8" t="s">
        <v>2932</v>
      </c>
      <c r="C104" s="10" t="s">
        <v>1352</v>
      </c>
      <c r="E104" s="10" t="s">
        <v>3909</v>
      </c>
      <c r="G104" s="10" t="s">
        <v>4091</v>
      </c>
      <c r="I104" s="10" t="s">
        <v>3323</v>
      </c>
    </row>
    <row r="105" spans="1:9" x14ac:dyDescent="0.3">
      <c r="A105" s="8" t="s">
        <v>2933</v>
      </c>
      <c r="C105" s="10" t="s">
        <v>1353</v>
      </c>
      <c r="E105" s="10" t="s">
        <v>3910</v>
      </c>
      <c r="G105" s="10" t="s">
        <v>4092</v>
      </c>
      <c r="I105" s="10" t="s">
        <v>3324</v>
      </c>
    </row>
    <row r="106" spans="1:9" x14ac:dyDescent="0.3">
      <c r="A106" s="8" t="s">
        <v>2934</v>
      </c>
      <c r="C106" s="10" t="s">
        <v>1354</v>
      </c>
      <c r="E106" s="10" t="s">
        <v>1354</v>
      </c>
      <c r="G106" s="10" t="s">
        <v>1354</v>
      </c>
      <c r="I106" s="10" t="s">
        <v>1354</v>
      </c>
    </row>
    <row r="107" spans="1:9" x14ac:dyDescent="0.3">
      <c r="A107" s="8" t="s">
        <v>2935</v>
      </c>
      <c r="C107" s="10" t="s">
        <v>1355</v>
      </c>
      <c r="E107" s="10" t="s">
        <v>3911</v>
      </c>
      <c r="G107" s="10" t="s">
        <v>4093</v>
      </c>
      <c r="I107" s="10" t="s">
        <v>3325</v>
      </c>
    </row>
    <row r="108" spans="1:9" x14ac:dyDescent="0.3">
      <c r="A108" s="8" t="s">
        <v>2936</v>
      </c>
      <c r="C108" s="10" t="s">
        <v>1356</v>
      </c>
      <c r="E108" s="10" t="s">
        <v>3912</v>
      </c>
      <c r="G108" s="10" t="s">
        <v>4094</v>
      </c>
      <c r="I108" s="10" t="s">
        <v>3326</v>
      </c>
    </row>
    <row r="109" spans="1:9" x14ac:dyDescent="0.3">
      <c r="A109" s="8" t="s">
        <v>2937</v>
      </c>
      <c r="C109" s="10" t="s">
        <v>1357</v>
      </c>
      <c r="E109" s="10" t="s">
        <v>1357</v>
      </c>
      <c r="G109" s="10" t="s">
        <v>1357</v>
      </c>
      <c r="I109" s="10" t="s">
        <v>1357</v>
      </c>
    </row>
    <row r="110" spans="1:9" x14ac:dyDescent="0.3">
      <c r="A110" s="8" t="s">
        <v>2938</v>
      </c>
      <c r="C110" s="10" t="s">
        <v>1358</v>
      </c>
      <c r="E110" s="10" t="s">
        <v>3913</v>
      </c>
      <c r="G110" s="10" t="s">
        <v>4095</v>
      </c>
      <c r="I110" s="10" t="s">
        <v>3327</v>
      </c>
    </row>
    <row r="111" spans="1:9" x14ac:dyDescent="0.3">
      <c r="A111" s="8" t="s">
        <v>2939</v>
      </c>
      <c r="C111" s="10" t="s">
        <v>1359</v>
      </c>
      <c r="E111" s="10" t="s">
        <v>3914</v>
      </c>
      <c r="G111" s="10" t="s">
        <v>4096</v>
      </c>
      <c r="I111" s="10" t="s">
        <v>3328</v>
      </c>
    </row>
    <row r="112" spans="1:9" x14ac:dyDescent="0.3">
      <c r="A112" s="8" t="s">
        <v>19</v>
      </c>
      <c r="C112" s="10" t="s">
        <v>19</v>
      </c>
      <c r="E112" s="10" t="s">
        <v>19</v>
      </c>
      <c r="G112" s="10" t="s">
        <v>19</v>
      </c>
      <c r="I112" s="10" t="s">
        <v>19</v>
      </c>
    </row>
    <row r="113" spans="1:9" x14ac:dyDescent="0.3">
      <c r="A113" s="8" t="s">
        <v>30</v>
      </c>
      <c r="C113" s="10" t="s">
        <v>1344</v>
      </c>
      <c r="E113" s="10" t="s">
        <v>1344</v>
      </c>
      <c r="G113" s="10" t="s">
        <v>1344</v>
      </c>
      <c r="I113" s="10" t="s">
        <v>1344</v>
      </c>
    </row>
    <row r="114" spans="1:9" x14ac:dyDescent="0.3">
      <c r="A114" s="8" t="s">
        <v>2932</v>
      </c>
      <c r="C114" s="10" t="s">
        <v>1352</v>
      </c>
      <c r="E114" s="10" t="s">
        <v>3909</v>
      </c>
      <c r="G114" s="10" t="s">
        <v>4091</v>
      </c>
      <c r="I114" s="10" t="s">
        <v>3323</v>
      </c>
    </row>
    <row r="115" spans="1:9" x14ac:dyDescent="0.3">
      <c r="A115" s="8" t="s">
        <v>2933</v>
      </c>
      <c r="C115" s="10" t="s">
        <v>1353</v>
      </c>
      <c r="E115" s="10" t="s">
        <v>3910</v>
      </c>
      <c r="G115" s="10" t="s">
        <v>4092</v>
      </c>
      <c r="I115" s="10" t="s">
        <v>3324</v>
      </c>
    </row>
    <row r="116" spans="1:9" x14ac:dyDescent="0.3">
      <c r="A116" s="8" t="s">
        <v>2934</v>
      </c>
      <c r="C116" s="10" t="s">
        <v>1354</v>
      </c>
      <c r="E116" s="10" t="s">
        <v>1354</v>
      </c>
      <c r="G116" s="10" t="s">
        <v>1354</v>
      </c>
      <c r="I116" s="10" t="s">
        <v>1354</v>
      </c>
    </row>
    <row r="117" spans="1:9" x14ac:dyDescent="0.3">
      <c r="A117" s="8" t="s">
        <v>2935</v>
      </c>
      <c r="C117" s="10" t="s">
        <v>1355</v>
      </c>
      <c r="E117" s="10" t="s">
        <v>3911</v>
      </c>
      <c r="G117" s="10" t="s">
        <v>4093</v>
      </c>
      <c r="I117" s="10" t="s">
        <v>3325</v>
      </c>
    </row>
    <row r="118" spans="1:9" x14ac:dyDescent="0.3">
      <c r="A118" s="8" t="s">
        <v>2936</v>
      </c>
      <c r="C118" s="10" t="s">
        <v>1356</v>
      </c>
      <c r="E118" s="10" t="s">
        <v>3912</v>
      </c>
      <c r="G118" s="10" t="s">
        <v>4094</v>
      </c>
      <c r="I118" s="10" t="s">
        <v>3326</v>
      </c>
    </row>
    <row r="119" spans="1:9" x14ac:dyDescent="0.3">
      <c r="A119" s="8" t="s">
        <v>2937</v>
      </c>
      <c r="C119" s="10" t="s">
        <v>1357</v>
      </c>
      <c r="E119" s="10" t="s">
        <v>1357</v>
      </c>
      <c r="G119" s="10" t="s">
        <v>1357</v>
      </c>
      <c r="I119" s="10" t="s">
        <v>1357</v>
      </c>
    </row>
    <row r="120" spans="1:9" x14ac:dyDescent="0.3">
      <c r="A120" s="8" t="s">
        <v>2938</v>
      </c>
      <c r="C120" s="10" t="s">
        <v>1358</v>
      </c>
      <c r="E120" s="10" t="s">
        <v>3913</v>
      </c>
      <c r="G120" s="10" t="s">
        <v>4095</v>
      </c>
      <c r="I120" s="10" t="s">
        <v>3327</v>
      </c>
    </row>
    <row r="121" spans="1:9" x14ac:dyDescent="0.3">
      <c r="A121" s="8" t="s">
        <v>2939</v>
      </c>
      <c r="C121" s="10" t="s">
        <v>1359</v>
      </c>
      <c r="E121" s="10" t="s">
        <v>3914</v>
      </c>
      <c r="G121" s="10" t="s">
        <v>4096</v>
      </c>
      <c r="I121" s="10" t="s">
        <v>3328</v>
      </c>
    </row>
    <row r="122" spans="1:9" x14ac:dyDescent="0.3">
      <c r="A122" s="8" t="s">
        <v>19</v>
      </c>
      <c r="C122" s="10" t="s">
        <v>19</v>
      </c>
      <c r="E122" s="10" t="s">
        <v>19</v>
      </c>
      <c r="G122" s="10" t="s">
        <v>19</v>
      </c>
      <c r="I122" s="10" t="s">
        <v>19</v>
      </c>
    </row>
    <row r="123" spans="1:9" x14ac:dyDescent="0.3">
      <c r="A123" s="8" t="s">
        <v>32</v>
      </c>
      <c r="C123" s="10" t="s">
        <v>1345</v>
      </c>
      <c r="E123" s="10" t="s">
        <v>1345</v>
      </c>
      <c r="G123" s="10" t="s">
        <v>1345</v>
      </c>
      <c r="I123" s="10" t="s">
        <v>1345</v>
      </c>
    </row>
    <row r="124" spans="1:9" x14ac:dyDescent="0.3">
      <c r="A124" s="8" t="s">
        <v>2932</v>
      </c>
      <c r="C124" s="10" t="s">
        <v>1352</v>
      </c>
      <c r="E124" s="10" t="s">
        <v>3909</v>
      </c>
      <c r="G124" s="10" t="s">
        <v>4091</v>
      </c>
      <c r="I124" s="10" t="s">
        <v>3323</v>
      </c>
    </row>
    <row r="125" spans="1:9" x14ac:dyDescent="0.3">
      <c r="A125" s="8" t="s">
        <v>2933</v>
      </c>
      <c r="C125" s="10" t="s">
        <v>1353</v>
      </c>
      <c r="E125" s="10" t="s">
        <v>3910</v>
      </c>
      <c r="G125" s="10" t="s">
        <v>4092</v>
      </c>
      <c r="I125" s="10" t="s">
        <v>3324</v>
      </c>
    </row>
    <row r="126" spans="1:9" x14ac:dyDescent="0.3">
      <c r="A126" s="8" t="s">
        <v>2934</v>
      </c>
      <c r="C126" s="10" t="s">
        <v>1354</v>
      </c>
      <c r="E126" s="10" t="s">
        <v>1354</v>
      </c>
      <c r="G126" s="10" t="s">
        <v>1354</v>
      </c>
      <c r="I126" s="10" t="s">
        <v>1354</v>
      </c>
    </row>
    <row r="127" spans="1:9" x14ac:dyDescent="0.3">
      <c r="A127" s="8" t="s">
        <v>2935</v>
      </c>
      <c r="C127" s="10" t="s">
        <v>1355</v>
      </c>
      <c r="E127" s="10" t="s">
        <v>3911</v>
      </c>
      <c r="G127" s="10" t="s">
        <v>4093</v>
      </c>
      <c r="I127" s="10" t="s">
        <v>3325</v>
      </c>
    </row>
    <row r="128" spans="1:9" x14ac:dyDescent="0.3">
      <c r="A128" s="8" t="s">
        <v>2936</v>
      </c>
      <c r="C128" s="10" t="s">
        <v>1356</v>
      </c>
      <c r="E128" s="10" t="s">
        <v>3912</v>
      </c>
      <c r="G128" s="10" t="s">
        <v>4094</v>
      </c>
      <c r="I128" s="10" t="s">
        <v>3326</v>
      </c>
    </row>
    <row r="129" spans="1:9" x14ac:dyDescent="0.3">
      <c r="A129" s="8" t="s">
        <v>2937</v>
      </c>
      <c r="C129" s="10" t="s">
        <v>1357</v>
      </c>
      <c r="E129" s="10" t="s">
        <v>1357</v>
      </c>
      <c r="G129" s="10" t="s">
        <v>1357</v>
      </c>
      <c r="I129" s="10" t="s">
        <v>1357</v>
      </c>
    </row>
    <row r="130" spans="1:9" x14ac:dyDescent="0.3">
      <c r="A130" s="8" t="s">
        <v>2938</v>
      </c>
      <c r="C130" s="10" t="s">
        <v>1358</v>
      </c>
      <c r="E130" s="10" t="s">
        <v>3913</v>
      </c>
      <c r="G130" s="10" t="s">
        <v>4095</v>
      </c>
      <c r="I130" s="10" t="s">
        <v>3327</v>
      </c>
    </row>
    <row r="131" spans="1:9" x14ac:dyDescent="0.3">
      <c r="A131" s="8" t="s">
        <v>2939</v>
      </c>
      <c r="C131" s="10" t="s">
        <v>1359</v>
      </c>
      <c r="E131" s="10" t="s">
        <v>3914</v>
      </c>
      <c r="G131" s="10" t="s">
        <v>4096</v>
      </c>
      <c r="I131" s="10" t="s">
        <v>3328</v>
      </c>
    </row>
    <row r="132" spans="1:9" x14ac:dyDescent="0.3">
      <c r="A132" s="8" t="s">
        <v>20</v>
      </c>
      <c r="C132" s="10" t="s">
        <v>20</v>
      </c>
      <c r="E132" s="10" t="s">
        <v>20</v>
      </c>
      <c r="G132" s="10" t="s">
        <v>20</v>
      </c>
      <c r="I132" s="10" t="s">
        <v>20</v>
      </c>
    </row>
    <row r="133" spans="1:9" x14ac:dyDescent="0.3">
      <c r="A133" s="8" t="s">
        <v>21</v>
      </c>
      <c r="C133" s="10" t="s">
        <v>21</v>
      </c>
      <c r="E133" s="10" t="s">
        <v>21</v>
      </c>
      <c r="G133" s="10" t="s">
        <v>21</v>
      </c>
      <c r="I133" s="10" t="s">
        <v>21</v>
      </c>
    </row>
    <row r="134" spans="1:9" x14ac:dyDescent="0.3">
      <c r="A134" s="8" t="s">
        <v>34</v>
      </c>
      <c r="C134" s="10" t="s">
        <v>1338</v>
      </c>
      <c r="E134" s="10" t="s">
        <v>1338</v>
      </c>
      <c r="G134" s="10" t="s">
        <v>1338</v>
      </c>
      <c r="I134" s="10" t="s">
        <v>1338</v>
      </c>
    </row>
    <row r="135" spans="1:9" x14ac:dyDescent="0.3">
      <c r="A135" s="8" t="s">
        <v>35</v>
      </c>
      <c r="C135" s="10" t="s">
        <v>1346</v>
      </c>
      <c r="E135" s="10" t="s">
        <v>1346</v>
      </c>
      <c r="G135" s="10" t="s">
        <v>1346</v>
      </c>
      <c r="I135" s="10" t="s">
        <v>1346</v>
      </c>
    </row>
    <row r="136" spans="1:9" x14ac:dyDescent="0.3">
      <c r="A136" s="8" t="s">
        <v>2932</v>
      </c>
      <c r="C136" s="10" t="s">
        <v>1352</v>
      </c>
      <c r="E136" s="10" t="s">
        <v>3909</v>
      </c>
      <c r="G136" s="10" t="s">
        <v>4091</v>
      </c>
      <c r="I136" s="10" t="s">
        <v>3323</v>
      </c>
    </row>
    <row r="137" spans="1:9" x14ac:dyDescent="0.3">
      <c r="A137" s="8" t="s">
        <v>2933</v>
      </c>
      <c r="C137" s="10" t="s">
        <v>1353</v>
      </c>
      <c r="E137" s="10" t="s">
        <v>3910</v>
      </c>
      <c r="G137" s="10" t="s">
        <v>4092</v>
      </c>
      <c r="I137" s="10" t="s">
        <v>3324</v>
      </c>
    </row>
    <row r="138" spans="1:9" x14ac:dyDescent="0.3">
      <c r="A138" s="8" t="s">
        <v>2934</v>
      </c>
      <c r="C138" s="10" t="s">
        <v>1354</v>
      </c>
      <c r="E138" s="10" t="s">
        <v>1354</v>
      </c>
      <c r="G138" s="10" t="s">
        <v>1354</v>
      </c>
      <c r="I138" s="10" t="s">
        <v>1354</v>
      </c>
    </row>
    <row r="139" spans="1:9" x14ac:dyDescent="0.3">
      <c r="A139" s="8" t="s">
        <v>2935</v>
      </c>
      <c r="C139" s="10" t="s">
        <v>1355</v>
      </c>
      <c r="E139" s="10" t="s">
        <v>3911</v>
      </c>
      <c r="G139" s="10" t="s">
        <v>4093</v>
      </c>
      <c r="I139" s="10" t="s">
        <v>3325</v>
      </c>
    </row>
    <row r="140" spans="1:9" x14ac:dyDescent="0.3">
      <c r="A140" s="8" t="s">
        <v>2936</v>
      </c>
      <c r="C140" s="10" t="s">
        <v>1356</v>
      </c>
      <c r="E140" s="10" t="s">
        <v>3912</v>
      </c>
      <c r="G140" s="10" t="s">
        <v>4094</v>
      </c>
      <c r="I140" s="10" t="s">
        <v>3326</v>
      </c>
    </row>
    <row r="141" spans="1:9" x14ac:dyDescent="0.3">
      <c r="A141" s="8" t="s">
        <v>2937</v>
      </c>
      <c r="C141" s="10" t="s">
        <v>1357</v>
      </c>
      <c r="E141" s="10" t="s">
        <v>1357</v>
      </c>
      <c r="G141" s="10" t="s">
        <v>1357</v>
      </c>
      <c r="I141" s="10" t="s">
        <v>1357</v>
      </c>
    </row>
    <row r="142" spans="1:9" x14ac:dyDescent="0.3">
      <c r="A142" s="8" t="s">
        <v>2938</v>
      </c>
      <c r="C142" s="10" t="s">
        <v>1358</v>
      </c>
      <c r="E142" s="10" t="s">
        <v>3913</v>
      </c>
      <c r="G142" s="10" t="s">
        <v>4095</v>
      </c>
      <c r="I142" s="10" t="s">
        <v>3327</v>
      </c>
    </row>
    <row r="143" spans="1:9" x14ac:dyDescent="0.3">
      <c r="A143" s="8" t="s">
        <v>2939</v>
      </c>
      <c r="C143" s="10" t="s">
        <v>1359</v>
      </c>
      <c r="E143" s="10" t="s">
        <v>3914</v>
      </c>
      <c r="G143" s="10" t="s">
        <v>4096</v>
      </c>
      <c r="I143" s="10" t="s">
        <v>3328</v>
      </c>
    </row>
    <row r="144" spans="1:9" x14ac:dyDescent="0.3">
      <c r="A144" s="8" t="s">
        <v>19</v>
      </c>
      <c r="C144" s="10" t="s">
        <v>19</v>
      </c>
      <c r="E144" s="10" t="s">
        <v>19</v>
      </c>
      <c r="G144" s="10" t="s">
        <v>19</v>
      </c>
      <c r="I144" s="10" t="s">
        <v>19</v>
      </c>
    </row>
    <row r="145" spans="1:9" x14ac:dyDescent="0.3">
      <c r="A145" s="8" t="s">
        <v>37</v>
      </c>
      <c r="C145" s="10" t="s">
        <v>1347</v>
      </c>
      <c r="E145" s="10" t="s">
        <v>1347</v>
      </c>
      <c r="G145" s="10" t="s">
        <v>1347</v>
      </c>
      <c r="I145" s="10" t="s">
        <v>1347</v>
      </c>
    </row>
    <row r="146" spans="1:9" x14ac:dyDescent="0.3">
      <c r="A146" s="8" t="s">
        <v>2932</v>
      </c>
      <c r="C146" s="10" t="s">
        <v>1352</v>
      </c>
      <c r="E146" s="10" t="s">
        <v>3909</v>
      </c>
      <c r="G146" s="10" t="s">
        <v>4091</v>
      </c>
      <c r="I146" s="10" t="s">
        <v>3323</v>
      </c>
    </row>
    <row r="147" spans="1:9" x14ac:dyDescent="0.3">
      <c r="A147" s="8" t="s">
        <v>2933</v>
      </c>
      <c r="C147" s="10" t="s">
        <v>1353</v>
      </c>
      <c r="E147" s="10" t="s">
        <v>3910</v>
      </c>
      <c r="G147" s="10" t="s">
        <v>4092</v>
      </c>
      <c r="I147" s="10" t="s">
        <v>3324</v>
      </c>
    </row>
    <row r="148" spans="1:9" x14ac:dyDescent="0.3">
      <c r="A148" s="8" t="s">
        <v>2934</v>
      </c>
      <c r="C148" s="10" t="s">
        <v>1354</v>
      </c>
      <c r="E148" s="10" t="s">
        <v>1354</v>
      </c>
      <c r="G148" s="10" t="s">
        <v>1354</v>
      </c>
      <c r="I148" s="10" t="s">
        <v>1354</v>
      </c>
    </row>
    <row r="149" spans="1:9" x14ac:dyDescent="0.3">
      <c r="A149" s="8" t="s">
        <v>2935</v>
      </c>
      <c r="C149" s="10" t="s">
        <v>1355</v>
      </c>
      <c r="E149" s="10" t="s">
        <v>3911</v>
      </c>
      <c r="G149" s="10" t="s">
        <v>4093</v>
      </c>
      <c r="I149" s="10" t="s">
        <v>3325</v>
      </c>
    </row>
    <row r="150" spans="1:9" x14ac:dyDescent="0.3">
      <c r="A150" s="8" t="s">
        <v>2936</v>
      </c>
      <c r="C150" s="10" t="s">
        <v>1356</v>
      </c>
      <c r="E150" s="10" t="s">
        <v>3912</v>
      </c>
      <c r="G150" s="10" t="s">
        <v>4094</v>
      </c>
      <c r="I150" s="10" t="s">
        <v>3326</v>
      </c>
    </row>
    <row r="151" spans="1:9" x14ac:dyDescent="0.3">
      <c r="A151" s="8" t="s">
        <v>2937</v>
      </c>
      <c r="C151" s="10" t="s">
        <v>1357</v>
      </c>
      <c r="E151" s="10" t="s">
        <v>1357</v>
      </c>
      <c r="G151" s="10" t="s">
        <v>1357</v>
      </c>
      <c r="I151" s="10" t="s">
        <v>1357</v>
      </c>
    </row>
    <row r="152" spans="1:9" x14ac:dyDescent="0.3">
      <c r="A152" s="8" t="s">
        <v>2938</v>
      </c>
      <c r="C152" s="10" t="s">
        <v>1358</v>
      </c>
      <c r="E152" s="10" t="s">
        <v>3913</v>
      </c>
      <c r="G152" s="10" t="s">
        <v>4095</v>
      </c>
      <c r="I152" s="10" t="s">
        <v>3327</v>
      </c>
    </row>
    <row r="153" spans="1:9" x14ac:dyDescent="0.3">
      <c r="A153" s="8" t="s">
        <v>2939</v>
      </c>
      <c r="C153" s="10" t="s">
        <v>1359</v>
      </c>
      <c r="E153" s="10" t="s">
        <v>3914</v>
      </c>
      <c r="G153" s="10" t="s">
        <v>4096</v>
      </c>
      <c r="I153" s="10" t="s">
        <v>3328</v>
      </c>
    </row>
    <row r="154" spans="1:9" x14ac:dyDescent="0.3">
      <c r="A154" s="8" t="s">
        <v>19</v>
      </c>
      <c r="C154" s="10" t="s">
        <v>19</v>
      </c>
      <c r="E154" s="10" t="s">
        <v>19</v>
      </c>
      <c r="G154" s="10" t="s">
        <v>19</v>
      </c>
      <c r="I154" s="10" t="s">
        <v>19</v>
      </c>
    </row>
    <row r="155" spans="1:9" x14ac:dyDescent="0.3">
      <c r="A155" s="8" t="s">
        <v>39</v>
      </c>
      <c r="C155" s="10" t="s">
        <v>1348</v>
      </c>
      <c r="E155" s="10" t="s">
        <v>1348</v>
      </c>
      <c r="G155" s="10" t="s">
        <v>1348</v>
      </c>
      <c r="I155" s="10" t="s">
        <v>1348</v>
      </c>
    </row>
    <row r="156" spans="1:9" x14ac:dyDescent="0.3">
      <c r="A156" s="8" t="s">
        <v>2932</v>
      </c>
      <c r="C156" s="10" t="s">
        <v>1352</v>
      </c>
      <c r="E156" s="10" t="s">
        <v>3909</v>
      </c>
      <c r="G156" s="10" t="s">
        <v>4091</v>
      </c>
      <c r="I156" s="10" t="s">
        <v>3323</v>
      </c>
    </row>
    <row r="157" spans="1:9" x14ac:dyDescent="0.3">
      <c r="A157" s="8" t="s">
        <v>2933</v>
      </c>
      <c r="C157" s="10" t="s">
        <v>1353</v>
      </c>
      <c r="E157" s="10" t="s">
        <v>3910</v>
      </c>
      <c r="G157" s="10" t="s">
        <v>4092</v>
      </c>
      <c r="I157" s="10" t="s">
        <v>3324</v>
      </c>
    </row>
    <row r="158" spans="1:9" x14ac:dyDescent="0.3">
      <c r="A158" s="8" t="s">
        <v>2934</v>
      </c>
      <c r="C158" s="10" t="s">
        <v>1354</v>
      </c>
      <c r="E158" s="10" t="s">
        <v>1354</v>
      </c>
      <c r="G158" s="10" t="s">
        <v>1354</v>
      </c>
      <c r="I158" s="10" t="s">
        <v>1354</v>
      </c>
    </row>
    <row r="159" spans="1:9" x14ac:dyDescent="0.3">
      <c r="A159" s="8" t="s">
        <v>2935</v>
      </c>
      <c r="C159" s="10" t="s">
        <v>1355</v>
      </c>
      <c r="E159" s="10" t="s">
        <v>3911</v>
      </c>
      <c r="G159" s="10" t="s">
        <v>4093</v>
      </c>
      <c r="I159" s="10" t="s">
        <v>3325</v>
      </c>
    </row>
    <row r="160" spans="1:9" x14ac:dyDescent="0.3">
      <c r="A160" s="8" t="s">
        <v>2936</v>
      </c>
      <c r="C160" s="10" t="s">
        <v>1356</v>
      </c>
      <c r="E160" s="10" t="s">
        <v>3912</v>
      </c>
      <c r="G160" s="10" t="s">
        <v>4094</v>
      </c>
      <c r="I160" s="10" t="s">
        <v>3326</v>
      </c>
    </row>
    <row r="161" spans="1:9" x14ac:dyDescent="0.3">
      <c r="A161" s="8" t="s">
        <v>2937</v>
      </c>
      <c r="C161" s="10" t="s">
        <v>1357</v>
      </c>
      <c r="E161" s="10" t="s">
        <v>1357</v>
      </c>
      <c r="G161" s="10" t="s">
        <v>1357</v>
      </c>
      <c r="I161" s="10" t="s">
        <v>1357</v>
      </c>
    </row>
    <row r="162" spans="1:9" x14ac:dyDescent="0.3">
      <c r="A162" s="8" t="s">
        <v>2938</v>
      </c>
      <c r="C162" s="10" t="s">
        <v>1358</v>
      </c>
      <c r="E162" s="10" t="s">
        <v>3913</v>
      </c>
      <c r="G162" s="10" t="s">
        <v>4095</v>
      </c>
      <c r="I162" s="10" t="s">
        <v>3327</v>
      </c>
    </row>
    <row r="163" spans="1:9" x14ac:dyDescent="0.3">
      <c r="A163" s="8" t="s">
        <v>2939</v>
      </c>
      <c r="C163" s="10" t="s">
        <v>1359</v>
      </c>
      <c r="E163" s="10" t="s">
        <v>3914</v>
      </c>
      <c r="G163" s="10" t="s">
        <v>4096</v>
      </c>
      <c r="I163" s="10" t="s">
        <v>3328</v>
      </c>
    </row>
    <row r="164" spans="1:9" x14ac:dyDescent="0.3">
      <c r="A164" s="8" t="s">
        <v>19</v>
      </c>
      <c r="C164" s="10" t="s">
        <v>19</v>
      </c>
      <c r="E164" s="10" t="s">
        <v>19</v>
      </c>
      <c r="G164" s="10" t="s">
        <v>19</v>
      </c>
      <c r="I164" s="10" t="s">
        <v>19</v>
      </c>
    </row>
    <row r="165" spans="1:9" x14ac:dyDescent="0.3">
      <c r="A165" s="8" t="s">
        <v>40</v>
      </c>
      <c r="C165" s="10" t="s">
        <v>1349</v>
      </c>
      <c r="E165" s="10" t="s">
        <v>1349</v>
      </c>
      <c r="G165" s="10" t="s">
        <v>1349</v>
      </c>
      <c r="I165" s="10" t="s">
        <v>1349</v>
      </c>
    </row>
    <row r="166" spans="1:9" x14ac:dyDescent="0.3">
      <c r="A166" s="8" t="s">
        <v>2932</v>
      </c>
      <c r="C166" s="10" t="s">
        <v>1352</v>
      </c>
      <c r="E166" s="10" t="s">
        <v>3909</v>
      </c>
      <c r="G166" s="10" t="s">
        <v>4091</v>
      </c>
      <c r="I166" s="10" t="s">
        <v>3323</v>
      </c>
    </row>
    <row r="167" spans="1:9" x14ac:dyDescent="0.3">
      <c r="A167" s="8" t="s">
        <v>2933</v>
      </c>
      <c r="C167" s="10" t="s">
        <v>1353</v>
      </c>
      <c r="E167" s="10" t="s">
        <v>3910</v>
      </c>
      <c r="G167" s="10" t="s">
        <v>4092</v>
      </c>
      <c r="I167" s="10" t="s">
        <v>3324</v>
      </c>
    </row>
    <row r="168" spans="1:9" x14ac:dyDescent="0.3">
      <c r="A168" s="8" t="s">
        <v>2934</v>
      </c>
      <c r="C168" s="10" t="s">
        <v>1354</v>
      </c>
      <c r="E168" s="10" t="s">
        <v>1354</v>
      </c>
      <c r="G168" s="10" t="s">
        <v>1354</v>
      </c>
      <c r="I168" s="10" t="s">
        <v>1354</v>
      </c>
    </row>
    <row r="169" spans="1:9" x14ac:dyDescent="0.3">
      <c r="A169" s="8" t="s">
        <v>2935</v>
      </c>
      <c r="C169" s="10" t="s">
        <v>1355</v>
      </c>
      <c r="E169" s="10" t="s">
        <v>3911</v>
      </c>
      <c r="G169" s="10" t="s">
        <v>4093</v>
      </c>
      <c r="I169" s="10" t="s">
        <v>3325</v>
      </c>
    </row>
    <row r="170" spans="1:9" x14ac:dyDescent="0.3">
      <c r="A170" s="8" t="s">
        <v>2936</v>
      </c>
      <c r="C170" s="10" t="s">
        <v>1356</v>
      </c>
      <c r="E170" s="10" t="s">
        <v>3912</v>
      </c>
      <c r="G170" s="10" t="s">
        <v>4094</v>
      </c>
      <c r="I170" s="10" t="s">
        <v>3326</v>
      </c>
    </row>
    <row r="171" spans="1:9" x14ac:dyDescent="0.3">
      <c r="A171" s="8" t="s">
        <v>2937</v>
      </c>
      <c r="C171" s="10" t="s">
        <v>1357</v>
      </c>
      <c r="E171" s="10" t="s">
        <v>1357</v>
      </c>
      <c r="G171" s="10" t="s">
        <v>1357</v>
      </c>
      <c r="I171" s="10" t="s">
        <v>1357</v>
      </c>
    </row>
    <row r="172" spans="1:9" x14ac:dyDescent="0.3">
      <c r="A172" s="8" t="s">
        <v>2938</v>
      </c>
      <c r="C172" s="10" t="s">
        <v>1358</v>
      </c>
      <c r="E172" s="10" t="s">
        <v>3913</v>
      </c>
      <c r="G172" s="10" t="s">
        <v>4095</v>
      </c>
      <c r="I172" s="10" t="s">
        <v>3327</v>
      </c>
    </row>
    <row r="173" spans="1:9" x14ac:dyDescent="0.3">
      <c r="A173" s="8" t="s">
        <v>2939</v>
      </c>
      <c r="C173" s="10" t="s">
        <v>1359</v>
      </c>
      <c r="E173" s="10" t="s">
        <v>3914</v>
      </c>
      <c r="G173" s="10" t="s">
        <v>4096</v>
      </c>
      <c r="I173" s="10" t="s">
        <v>3328</v>
      </c>
    </row>
    <row r="174" spans="1:9" x14ac:dyDescent="0.3">
      <c r="A174" s="8" t="s">
        <v>19</v>
      </c>
      <c r="C174" s="10" t="s">
        <v>19</v>
      </c>
      <c r="E174" s="10" t="s">
        <v>19</v>
      </c>
      <c r="G174" s="10" t="s">
        <v>19</v>
      </c>
      <c r="I174" s="10" t="s">
        <v>19</v>
      </c>
    </row>
    <row r="175" spans="1:9" x14ac:dyDescent="0.3">
      <c r="A175" s="8" t="s">
        <v>42</v>
      </c>
      <c r="C175" s="10" t="s">
        <v>1350</v>
      </c>
      <c r="E175" s="10" t="s">
        <v>1350</v>
      </c>
      <c r="G175" s="10" t="s">
        <v>1350</v>
      </c>
      <c r="I175" s="10" t="s">
        <v>1350</v>
      </c>
    </row>
    <row r="176" spans="1:9" x14ac:dyDescent="0.3">
      <c r="A176" s="8" t="s">
        <v>2932</v>
      </c>
      <c r="C176" s="10" t="s">
        <v>1352</v>
      </c>
      <c r="E176" s="10" t="s">
        <v>3909</v>
      </c>
      <c r="G176" s="10" t="s">
        <v>4091</v>
      </c>
      <c r="I176" s="10" t="s">
        <v>3323</v>
      </c>
    </row>
    <row r="177" spans="1:9" x14ac:dyDescent="0.3">
      <c r="A177" s="8" t="s">
        <v>2933</v>
      </c>
      <c r="C177" s="10" t="s">
        <v>1353</v>
      </c>
      <c r="E177" s="10" t="s">
        <v>3910</v>
      </c>
      <c r="G177" s="10" t="s">
        <v>4092</v>
      </c>
      <c r="I177" s="10" t="s">
        <v>3324</v>
      </c>
    </row>
    <row r="178" spans="1:9" x14ac:dyDescent="0.3">
      <c r="A178" s="8" t="s">
        <v>2934</v>
      </c>
      <c r="C178" s="10" t="s">
        <v>1354</v>
      </c>
      <c r="E178" s="10" t="s">
        <v>1354</v>
      </c>
      <c r="G178" s="10" t="s">
        <v>1354</v>
      </c>
      <c r="I178" s="10" t="s">
        <v>1354</v>
      </c>
    </row>
    <row r="179" spans="1:9" x14ac:dyDescent="0.3">
      <c r="A179" s="8" t="s">
        <v>2935</v>
      </c>
      <c r="C179" s="10" t="s">
        <v>1355</v>
      </c>
      <c r="E179" s="10" t="s">
        <v>3911</v>
      </c>
      <c r="G179" s="10" t="s">
        <v>4093</v>
      </c>
      <c r="I179" s="10" t="s">
        <v>3325</v>
      </c>
    </row>
    <row r="180" spans="1:9" x14ac:dyDescent="0.3">
      <c r="A180" s="8" t="s">
        <v>2936</v>
      </c>
      <c r="C180" s="10" t="s">
        <v>1356</v>
      </c>
      <c r="E180" s="10" t="s">
        <v>3912</v>
      </c>
      <c r="G180" s="10" t="s">
        <v>4094</v>
      </c>
      <c r="I180" s="10" t="s">
        <v>3326</v>
      </c>
    </row>
    <row r="181" spans="1:9" x14ac:dyDescent="0.3">
      <c r="A181" s="8" t="s">
        <v>2937</v>
      </c>
      <c r="C181" s="10" t="s">
        <v>1357</v>
      </c>
      <c r="E181" s="10" t="s">
        <v>1357</v>
      </c>
      <c r="G181" s="10" t="s">
        <v>1357</v>
      </c>
      <c r="I181" s="10" t="s">
        <v>1357</v>
      </c>
    </row>
    <row r="182" spans="1:9" x14ac:dyDescent="0.3">
      <c r="A182" s="8" t="s">
        <v>2938</v>
      </c>
      <c r="C182" s="10" t="s">
        <v>1358</v>
      </c>
      <c r="E182" s="10" t="s">
        <v>3913</v>
      </c>
      <c r="G182" s="10" t="s">
        <v>4095</v>
      </c>
      <c r="I182" s="10" t="s">
        <v>3327</v>
      </c>
    </row>
    <row r="183" spans="1:9" x14ac:dyDescent="0.3">
      <c r="A183" s="8" t="s">
        <v>2939</v>
      </c>
      <c r="C183" s="10" t="s">
        <v>1359</v>
      </c>
      <c r="E183" s="10" t="s">
        <v>3914</v>
      </c>
      <c r="G183" s="10" t="s">
        <v>4096</v>
      </c>
      <c r="I183" s="10" t="s">
        <v>3328</v>
      </c>
    </row>
    <row r="184" spans="1:9" x14ac:dyDescent="0.3">
      <c r="A184" s="8" t="s">
        <v>20</v>
      </c>
      <c r="C184" s="10" t="s">
        <v>20</v>
      </c>
      <c r="E184" s="10" t="s">
        <v>20</v>
      </c>
      <c r="G184" s="10" t="s">
        <v>20</v>
      </c>
      <c r="I184" s="10" t="s">
        <v>20</v>
      </c>
    </row>
    <row r="185" spans="1:9" x14ac:dyDescent="0.3">
      <c r="A185" s="8" t="s">
        <v>21</v>
      </c>
      <c r="C185" s="10" t="s">
        <v>21</v>
      </c>
      <c r="E185" s="10" t="s">
        <v>21</v>
      </c>
      <c r="G185" s="10" t="s">
        <v>21</v>
      </c>
      <c r="I185" s="10" t="s">
        <v>21</v>
      </c>
    </row>
    <row r="186" spans="1:9" x14ac:dyDescent="0.3">
      <c r="A186" s="8" t="s">
        <v>43</v>
      </c>
      <c r="C186" s="10" t="s">
        <v>1340</v>
      </c>
      <c r="E186" s="10" t="s">
        <v>1340</v>
      </c>
      <c r="G186" s="10" t="s">
        <v>1340</v>
      </c>
      <c r="I186" s="10" t="s">
        <v>1340</v>
      </c>
    </row>
    <row r="187" spans="1:9" x14ac:dyDescent="0.3">
      <c r="A187" s="8" t="s">
        <v>44</v>
      </c>
      <c r="C187" s="10" t="s">
        <v>1351</v>
      </c>
      <c r="E187" s="10" t="s">
        <v>1351</v>
      </c>
      <c r="G187" s="10" t="s">
        <v>1351</v>
      </c>
      <c r="I187" s="10" t="s">
        <v>1351</v>
      </c>
    </row>
    <row r="188" spans="1:9" x14ac:dyDescent="0.3">
      <c r="A188" s="8" t="s">
        <v>2932</v>
      </c>
      <c r="C188" s="10" t="s">
        <v>1352</v>
      </c>
      <c r="E188" s="10" t="s">
        <v>3909</v>
      </c>
      <c r="G188" s="10" t="s">
        <v>4091</v>
      </c>
      <c r="I188" s="10" t="s">
        <v>3323</v>
      </c>
    </row>
    <row r="189" spans="1:9" x14ac:dyDescent="0.3">
      <c r="A189" s="8" t="s">
        <v>2933</v>
      </c>
      <c r="C189" s="10" t="s">
        <v>1353</v>
      </c>
      <c r="E189" s="10" t="s">
        <v>3910</v>
      </c>
      <c r="G189" s="10" t="s">
        <v>4092</v>
      </c>
      <c r="I189" s="10" t="s">
        <v>3324</v>
      </c>
    </row>
    <row r="190" spans="1:9" x14ac:dyDescent="0.3">
      <c r="A190" s="8" t="s">
        <v>2934</v>
      </c>
      <c r="C190" s="10" t="s">
        <v>1354</v>
      </c>
      <c r="E190" s="10" t="s">
        <v>1354</v>
      </c>
      <c r="G190" s="10" t="s">
        <v>1354</v>
      </c>
      <c r="I190" s="10" t="s">
        <v>1354</v>
      </c>
    </row>
    <row r="191" spans="1:9" x14ac:dyDescent="0.3">
      <c r="A191" s="8" t="s">
        <v>2935</v>
      </c>
      <c r="C191" s="10" t="s">
        <v>1355</v>
      </c>
      <c r="E191" s="10" t="s">
        <v>3911</v>
      </c>
      <c r="G191" s="10" t="s">
        <v>4093</v>
      </c>
      <c r="I191" s="10" t="s">
        <v>3325</v>
      </c>
    </row>
    <row r="192" spans="1:9" x14ac:dyDescent="0.3">
      <c r="A192" s="8" t="s">
        <v>2936</v>
      </c>
      <c r="C192" s="10" t="s">
        <v>1356</v>
      </c>
      <c r="E192" s="10" t="s">
        <v>3912</v>
      </c>
      <c r="G192" s="10" t="s">
        <v>4094</v>
      </c>
      <c r="I192" s="10" t="s">
        <v>3326</v>
      </c>
    </row>
    <row r="193" spans="1:9" x14ac:dyDescent="0.3">
      <c r="A193" s="8" t="s">
        <v>2937</v>
      </c>
      <c r="C193" s="10" t="s">
        <v>1357</v>
      </c>
      <c r="E193" s="10" t="s">
        <v>1357</v>
      </c>
      <c r="G193" s="10" t="s">
        <v>1357</v>
      </c>
      <c r="I193" s="10" t="s">
        <v>1357</v>
      </c>
    </row>
    <row r="194" spans="1:9" x14ac:dyDescent="0.3">
      <c r="A194" s="8" t="s">
        <v>2938</v>
      </c>
      <c r="C194" s="10" t="s">
        <v>1358</v>
      </c>
      <c r="E194" s="10" t="s">
        <v>3913</v>
      </c>
      <c r="G194" s="10" t="s">
        <v>4095</v>
      </c>
      <c r="I194" s="10" t="s">
        <v>3327</v>
      </c>
    </row>
    <row r="195" spans="1:9" x14ac:dyDescent="0.3">
      <c r="A195" s="8" t="s">
        <v>2939</v>
      </c>
      <c r="C195" s="10" t="s">
        <v>1359</v>
      </c>
      <c r="E195" s="10" t="s">
        <v>3914</v>
      </c>
      <c r="G195" s="10" t="s">
        <v>4096</v>
      </c>
      <c r="I195" s="10" t="s">
        <v>3328</v>
      </c>
    </row>
    <row r="196" spans="1:9" x14ac:dyDescent="0.3">
      <c r="A196" s="8" t="s">
        <v>20</v>
      </c>
      <c r="C196" s="10" t="s">
        <v>20</v>
      </c>
      <c r="E196" s="10" t="s">
        <v>20</v>
      </c>
      <c r="G196" s="10" t="s">
        <v>20</v>
      </c>
      <c r="I196" s="10" t="s">
        <v>20</v>
      </c>
    </row>
    <row r="197" spans="1:9" x14ac:dyDescent="0.3">
      <c r="A197" s="8" t="s">
        <v>22</v>
      </c>
      <c r="C197" s="10" t="s">
        <v>22</v>
      </c>
      <c r="E197" s="10" t="s">
        <v>22</v>
      </c>
      <c r="G197" s="10" t="s">
        <v>22</v>
      </c>
      <c r="I197" s="10" t="s">
        <v>22</v>
      </c>
    </row>
    <row r="198" spans="1:9" x14ac:dyDescent="0.3">
      <c r="A198" s="8" t="s">
        <v>23</v>
      </c>
      <c r="C198" s="10" t="s">
        <v>23</v>
      </c>
      <c r="E198" s="10" t="s">
        <v>23</v>
      </c>
      <c r="G198" s="10" t="s">
        <v>23</v>
      </c>
      <c r="I198" s="10" t="s">
        <v>23</v>
      </c>
    </row>
    <row r="199" spans="1:9" x14ac:dyDescent="0.3">
      <c r="A199" s="8" t="s">
        <v>56</v>
      </c>
      <c r="C199" s="10" t="s">
        <v>1341</v>
      </c>
      <c r="E199" s="10" t="s">
        <v>1341</v>
      </c>
      <c r="G199" s="10" t="s">
        <v>1341</v>
      </c>
      <c r="I199" s="10" t="s">
        <v>1341</v>
      </c>
    </row>
    <row r="200" spans="1:9" x14ac:dyDescent="0.3">
      <c r="A200" s="8" t="s">
        <v>27</v>
      </c>
      <c r="C200" s="10" t="s">
        <v>1337</v>
      </c>
      <c r="E200" s="10" t="s">
        <v>1337</v>
      </c>
      <c r="G200" s="10" t="s">
        <v>1337</v>
      </c>
      <c r="I200" s="10" t="s">
        <v>1337</v>
      </c>
    </row>
    <row r="201" spans="1:9" x14ac:dyDescent="0.3">
      <c r="A201" s="8" t="s">
        <v>28</v>
      </c>
      <c r="C201" s="10" t="s">
        <v>1343</v>
      </c>
      <c r="E201" s="10" t="s">
        <v>1343</v>
      </c>
      <c r="G201" s="10" t="s">
        <v>1343</v>
      </c>
      <c r="I201" s="10" t="s">
        <v>1343</v>
      </c>
    </row>
    <row r="202" spans="1:9" x14ac:dyDescent="0.3">
      <c r="A202" s="8" t="s">
        <v>2932</v>
      </c>
      <c r="C202" s="10" t="s">
        <v>1352</v>
      </c>
      <c r="E202" s="10" t="s">
        <v>3909</v>
      </c>
      <c r="G202" s="10" t="s">
        <v>4091</v>
      </c>
      <c r="I202" s="10" t="s">
        <v>3323</v>
      </c>
    </row>
    <row r="203" spans="1:9" x14ac:dyDescent="0.3">
      <c r="A203" s="8" t="s">
        <v>2933</v>
      </c>
      <c r="C203" s="10" t="s">
        <v>1353</v>
      </c>
      <c r="E203" s="10" t="s">
        <v>3910</v>
      </c>
      <c r="G203" s="10" t="s">
        <v>4092</v>
      </c>
      <c r="I203" s="10" t="s">
        <v>3324</v>
      </c>
    </row>
    <row r="204" spans="1:9" x14ac:dyDescent="0.3">
      <c r="A204" s="8" t="s">
        <v>2934</v>
      </c>
      <c r="C204" s="10" t="s">
        <v>1354</v>
      </c>
      <c r="E204" s="10" t="s">
        <v>1354</v>
      </c>
      <c r="G204" s="10" t="s">
        <v>1354</v>
      </c>
      <c r="I204" s="10" t="s">
        <v>1354</v>
      </c>
    </row>
    <row r="205" spans="1:9" x14ac:dyDescent="0.3">
      <c r="A205" s="8" t="s">
        <v>2935</v>
      </c>
      <c r="C205" s="10" t="s">
        <v>1355</v>
      </c>
      <c r="E205" s="10" t="s">
        <v>3911</v>
      </c>
      <c r="G205" s="10" t="s">
        <v>4093</v>
      </c>
      <c r="I205" s="10" t="s">
        <v>3325</v>
      </c>
    </row>
    <row r="206" spans="1:9" x14ac:dyDescent="0.3">
      <c r="A206" s="8" t="s">
        <v>2936</v>
      </c>
      <c r="C206" s="10" t="s">
        <v>1356</v>
      </c>
      <c r="E206" s="10" t="s">
        <v>3912</v>
      </c>
      <c r="G206" s="10" t="s">
        <v>4094</v>
      </c>
      <c r="I206" s="10" t="s">
        <v>3326</v>
      </c>
    </row>
    <row r="207" spans="1:9" x14ac:dyDescent="0.3">
      <c r="A207" s="8" t="s">
        <v>2937</v>
      </c>
      <c r="C207" s="10" t="s">
        <v>1357</v>
      </c>
      <c r="E207" s="10" t="s">
        <v>1357</v>
      </c>
      <c r="G207" s="10" t="s">
        <v>1357</v>
      </c>
      <c r="I207" s="10" t="s">
        <v>1357</v>
      </c>
    </row>
    <row r="208" spans="1:9" x14ac:dyDescent="0.3">
      <c r="A208" s="8" t="s">
        <v>2938</v>
      </c>
      <c r="C208" s="10" t="s">
        <v>1358</v>
      </c>
      <c r="E208" s="10" t="s">
        <v>3913</v>
      </c>
      <c r="G208" s="10" t="s">
        <v>4095</v>
      </c>
      <c r="I208" s="10" t="s">
        <v>3327</v>
      </c>
    </row>
    <row r="209" spans="1:9" x14ac:dyDescent="0.3">
      <c r="A209" s="8" t="s">
        <v>2939</v>
      </c>
      <c r="C209" s="10" t="s">
        <v>1359</v>
      </c>
      <c r="E209" s="10" t="s">
        <v>3914</v>
      </c>
      <c r="G209" s="10" t="s">
        <v>4096</v>
      </c>
      <c r="I209" s="10" t="s">
        <v>3328</v>
      </c>
    </row>
    <row r="210" spans="1:9" x14ac:dyDescent="0.3">
      <c r="A210" s="8" t="s">
        <v>19</v>
      </c>
      <c r="C210" s="10" t="s">
        <v>19</v>
      </c>
      <c r="E210" s="10" t="s">
        <v>19</v>
      </c>
      <c r="G210" s="10" t="s">
        <v>19</v>
      </c>
      <c r="I210" s="10" t="s">
        <v>19</v>
      </c>
    </row>
    <row r="211" spans="1:9" x14ac:dyDescent="0.3">
      <c r="A211" s="8" t="s">
        <v>30</v>
      </c>
      <c r="C211" s="10" t="s">
        <v>1344</v>
      </c>
      <c r="E211" s="10" t="s">
        <v>1344</v>
      </c>
      <c r="G211" s="10" t="s">
        <v>1344</v>
      </c>
      <c r="I211" s="10" t="s">
        <v>1344</v>
      </c>
    </row>
    <row r="212" spans="1:9" x14ac:dyDescent="0.3">
      <c r="A212" s="8" t="s">
        <v>2932</v>
      </c>
      <c r="C212" s="10" t="s">
        <v>1352</v>
      </c>
      <c r="E212" s="10" t="s">
        <v>3909</v>
      </c>
      <c r="G212" s="10" t="s">
        <v>4091</v>
      </c>
      <c r="I212" s="10" t="s">
        <v>3323</v>
      </c>
    </row>
    <row r="213" spans="1:9" x14ac:dyDescent="0.3">
      <c r="A213" s="8" t="s">
        <v>2933</v>
      </c>
      <c r="C213" s="10" t="s">
        <v>1353</v>
      </c>
      <c r="E213" s="10" t="s">
        <v>3910</v>
      </c>
      <c r="G213" s="10" t="s">
        <v>4092</v>
      </c>
      <c r="I213" s="10" t="s">
        <v>3324</v>
      </c>
    </row>
    <row r="214" spans="1:9" x14ac:dyDescent="0.3">
      <c r="A214" s="8" t="s">
        <v>2934</v>
      </c>
      <c r="C214" s="10" t="s">
        <v>1354</v>
      </c>
      <c r="E214" s="10" t="s">
        <v>1354</v>
      </c>
      <c r="G214" s="10" t="s">
        <v>1354</v>
      </c>
      <c r="I214" s="10" t="s">
        <v>1354</v>
      </c>
    </row>
    <row r="215" spans="1:9" x14ac:dyDescent="0.3">
      <c r="A215" s="8" t="s">
        <v>2935</v>
      </c>
      <c r="C215" s="10" t="s">
        <v>1355</v>
      </c>
      <c r="E215" s="10" t="s">
        <v>3911</v>
      </c>
      <c r="G215" s="10" t="s">
        <v>4093</v>
      </c>
      <c r="I215" s="10" t="s">
        <v>3325</v>
      </c>
    </row>
    <row r="216" spans="1:9" x14ac:dyDescent="0.3">
      <c r="A216" s="8" t="s">
        <v>2936</v>
      </c>
      <c r="C216" s="10" t="s">
        <v>1356</v>
      </c>
      <c r="E216" s="10" t="s">
        <v>3912</v>
      </c>
      <c r="G216" s="10" t="s">
        <v>4094</v>
      </c>
      <c r="I216" s="10" t="s">
        <v>3326</v>
      </c>
    </row>
    <row r="217" spans="1:9" x14ac:dyDescent="0.3">
      <c r="A217" s="8" t="s">
        <v>2937</v>
      </c>
      <c r="C217" s="10" t="s">
        <v>1357</v>
      </c>
      <c r="E217" s="10" t="s">
        <v>1357</v>
      </c>
      <c r="G217" s="10" t="s">
        <v>1357</v>
      </c>
      <c r="I217" s="10" t="s">
        <v>1357</v>
      </c>
    </row>
    <row r="218" spans="1:9" x14ac:dyDescent="0.3">
      <c r="A218" s="8" t="s">
        <v>2938</v>
      </c>
      <c r="C218" s="10" t="s">
        <v>1358</v>
      </c>
      <c r="E218" s="10" t="s">
        <v>3913</v>
      </c>
      <c r="G218" s="10" t="s">
        <v>4095</v>
      </c>
      <c r="I218" s="10" t="s">
        <v>3327</v>
      </c>
    </row>
    <row r="219" spans="1:9" x14ac:dyDescent="0.3">
      <c r="A219" s="8" t="s">
        <v>2939</v>
      </c>
      <c r="C219" s="10" t="s">
        <v>1359</v>
      </c>
      <c r="E219" s="10" t="s">
        <v>3914</v>
      </c>
      <c r="G219" s="10" t="s">
        <v>4096</v>
      </c>
      <c r="I219" s="10" t="s">
        <v>3328</v>
      </c>
    </row>
    <row r="220" spans="1:9" x14ac:dyDescent="0.3">
      <c r="A220" s="8" t="s">
        <v>19</v>
      </c>
      <c r="C220" s="10" t="s">
        <v>19</v>
      </c>
      <c r="E220" s="10" t="s">
        <v>19</v>
      </c>
      <c r="G220" s="10" t="s">
        <v>19</v>
      </c>
      <c r="I220" s="10" t="s">
        <v>19</v>
      </c>
    </row>
    <row r="221" spans="1:9" x14ac:dyDescent="0.3">
      <c r="A221" s="8" t="s">
        <v>32</v>
      </c>
      <c r="C221" s="10" t="s">
        <v>1345</v>
      </c>
      <c r="E221" s="10" t="s">
        <v>1345</v>
      </c>
      <c r="G221" s="10" t="s">
        <v>1345</v>
      </c>
      <c r="I221" s="10" t="s">
        <v>1345</v>
      </c>
    </row>
    <row r="222" spans="1:9" x14ac:dyDescent="0.3">
      <c r="A222" s="8" t="s">
        <v>2932</v>
      </c>
      <c r="C222" s="10" t="s">
        <v>1352</v>
      </c>
      <c r="E222" s="10" t="s">
        <v>3909</v>
      </c>
      <c r="G222" s="10" t="s">
        <v>4091</v>
      </c>
      <c r="I222" s="10" t="s">
        <v>3323</v>
      </c>
    </row>
    <row r="223" spans="1:9" x14ac:dyDescent="0.3">
      <c r="A223" s="8" t="s">
        <v>2933</v>
      </c>
      <c r="C223" s="10" t="s">
        <v>1353</v>
      </c>
      <c r="E223" s="10" t="s">
        <v>3910</v>
      </c>
      <c r="G223" s="10" t="s">
        <v>4092</v>
      </c>
      <c r="I223" s="10" t="s">
        <v>3324</v>
      </c>
    </row>
    <row r="224" spans="1:9" x14ac:dyDescent="0.3">
      <c r="A224" s="8" t="s">
        <v>2934</v>
      </c>
      <c r="C224" s="10" t="s">
        <v>1354</v>
      </c>
      <c r="E224" s="10" t="s">
        <v>1354</v>
      </c>
      <c r="G224" s="10" t="s">
        <v>1354</v>
      </c>
      <c r="I224" s="10" t="s">
        <v>1354</v>
      </c>
    </row>
    <row r="225" spans="1:9" x14ac:dyDescent="0.3">
      <c r="A225" s="8" t="s">
        <v>2935</v>
      </c>
      <c r="C225" s="10" t="s">
        <v>1355</v>
      </c>
      <c r="E225" s="10" t="s">
        <v>3911</v>
      </c>
      <c r="G225" s="10" t="s">
        <v>4093</v>
      </c>
      <c r="I225" s="10" t="s">
        <v>3325</v>
      </c>
    </row>
    <row r="226" spans="1:9" x14ac:dyDescent="0.3">
      <c r="A226" s="8" t="s">
        <v>2936</v>
      </c>
      <c r="C226" s="10" t="s">
        <v>1356</v>
      </c>
      <c r="E226" s="10" t="s">
        <v>3912</v>
      </c>
      <c r="G226" s="10" t="s">
        <v>4094</v>
      </c>
      <c r="I226" s="10" t="s">
        <v>3326</v>
      </c>
    </row>
    <row r="227" spans="1:9" x14ac:dyDescent="0.3">
      <c r="A227" s="8" t="s">
        <v>2937</v>
      </c>
      <c r="C227" s="10" t="s">
        <v>1357</v>
      </c>
      <c r="E227" s="10" t="s">
        <v>1357</v>
      </c>
      <c r="G227" s="10" t="s">
        <v>1357</v>
      </c>
      <c r="I227" s="10" t="s">
        <v>1357</v>
      </c>
    </row>
    <row r="228" spans="1:9" x14ac:dyDescent="0.3">
      <c r="A228" s="8" t="s">
        <v>2938</v>
      </c>
      <c r="C228" s="10" t="s">
        <v>1358</v>
      </c>
      <c r="E228" s="10" t="s">
        <v>3913</v>
      </c>
      <c r="G228" s="10" t="s">
        <v>4095</v>
      </c>
      <c r="I228" s="10" t="s">
        <v>3327</v>
      </c>
    </row>
    <row r="229" spans="1:9" x14ac:dyDescent="0.3">
      <c r="A229" s="8" t="s">
        <v>2939</v>
      </c>
      <c r="C229" s="10" t="s">
        <v>1359</v>
      </c>
      <c r="E229" s="10" t="s">
        <v>3914</v>
      </c>
      <c r="G229" s="10" t="s">
        <v>4096</v>
      </c>
      <c r="I229" s="10" t="s">
        <v>3328</v>
      </c>
    </row>
    <row r="230" spans="1:9" x14ac:dyDescent="0.3">
      <c r="A230" s="8" t="s">
        <v>20</v>
      </c>
      <c r="C230" s="10" t="s">
        <v>20</v>
      </c>
      <c r="E230" s="10" t="s">
        <v>20</v>
      </c>
      <c r="G230" s="10" t="s">
        <v>20</v>
      </c>
      <c r="I230" s="10" t="s">
        <v>20</v>
      </c>
    </row>
    <row r="231" spans="1:9" x14ac:dyDescent="0.3">
      <c r="A231" s="8" t="s">
        <v>21</v>
      </c>
      <c r="C231" s="10" t="s">
        <v>21</v>
      </c>
      <c r="E231" s="10" t="s">
        <v>21</v>
      </c>
      <c r="G231" s="10" t="s">
        <v>21</v>
      </c>
      <c r="I231" s="10" t="s">
        <v>21</v>
      </c>
    </row>
    <row r="232" spans="1:9" x14ac:dyDescent="0.3">
      <c r="A232" s="8" t="s">
        <v>34</v>
      </c>
      <c r="C232" s="10" t="s">
        <v>1338</v>
      </c>
      <c r="E232" s="10" t="s">
        <v>1338</v>
      </c>
      <c r="G232" s="10" t="s">
        <v>1338</v>
      </c>
      <c r="I232" s="10" t="s">
        <v>1338</v>
      </c>
    </row>
    <row r="233" spans="1:9" x14ac:dyDescent="0.3">
      <c r="A233" s="8" t="s">
        <v>35</v>
      </c>
      <c r="C233" s="10" t="s">
        <v>1346</v>
      </c>
      <c r="E233" s="10" t="s">
        <v>1346</v>
      </c>
      <c r="G233" s="10" t="s">
        <v>1346</v>
      </c>
      <c r="I233" s="10" t="s">
        <v>1346</v>
      </c>
    </row>
    <row r="234" spans="1:9" x14ac:dyDescent="0.3">
      <c r="A234" s="8" t="s">
        <v>2932</v>
      </c>
      <c r="C234" s="10" t="s">
        <v>1352</v>
      </c>
      <c r="E234" s="10" t="s">
        <v>3909</v>
      </c>
      <c r="G234" s="10" t="s">
        <v>4091</v>
      </c>
      <c r="I234" s="10" t="s">
        <v>3323</v>
      </c>
    </row>
    <row r="235" spans="1:9" x14ac:dyDescent="0.3">
      <c r="A235" s="8" t="s">
        <v>2933</v>
      </c>
      <c r="C235" s="10" t="s">
        <v>1353</v>
      </c>
      <c r="E235" s="10" t="s">
        <v>3910</v>
      </c>
      <c r="G235" s="10" t="s">
        <v>4092</v>
      </c>
      <c r="I235" s="10" t="s">
        <v>3324</v>
      </c>
    </row>
    <row r="236" spans="1:9" x14ac:dyDescent="0.3">
      <c r="A236" s="8" t="s">
        <v>2934</v>
      </c>
      <c r="C236" s="10" t="s">
        <v>1354</v>
      </c>
      <c r="E236" s="10" t="s">
        <v>1354</v>
      </c>
      <c r="G236" s="10" t="s">
        <v>1354</v>
      </c>
      <c r="I236" s="10" t="s">
        <v>1354</v>
      </c>
    </row>
    <row r="237" spans="1:9" x14ac:dyDescent="0.3">
      <c r="A237" s="8" t="s">
        <v>2935</v>
      </c>
      <c r="C237" s="10" t="s">
        <v>1355</v>
      </c>
      <c r="E237" s="10" t="s">
        <v>3911</v>
      </c>
      <c r="G237" s="10" t="s">
        <v>4093</v>
      </c>
      <c r="I237" s="10" t="s">
        <v>3325</v>
      </c>
    </row>
    <row r="238" spans="1:9" x14ac:dyDescent="0.3">
      <c r="A238" s="8" t="s">
        <v>2936</v>
      </c>
      <c r="C238" s="10" t="s">
        <v>1356</v>
      </c>
      <c r="E238" s="10" t="s">
        <v>3912</v>
      </c>
      <c r="G238" s="10" t="s">
        <v>4094</v>
      </c>
      <c r="I238" s="10" t="s">
        <v>3326</v>
      </c>
    </row>
    <row r="239" spans="1:9" x14ac:dyDescent="0.3">
      <c r="A239" s="8" t="s">
        <v>2937</v>
      </c>
      <c r="C239" s="10" t="s">
        <v>1357</v>
      </c>
      <c r="E239" s="10" t="s">
        <v>1357</v>
      </c>
      <c r="G239" s="10" t="s">
        <v>1357</v>
      </c>
      <c r="I239" s="10" t="s">
        <v>1357</v>
      </c>
    </row>
    <row r="240" spans="1:9" x14ac:dyDescent="0.3">
      <c r="A240" s="8" t="s">
        <v>2938</v>
      </c>
      <c r="C240" s="10" t="s">
        <v>1358</v>
      </c>
      <c r="E240" s="10" t="s">
        <v>3913</v>
      </c>
      <c r="G240" s="10" t="s">
        <v>4095</v>
      </c>
      <c r="I240" s="10" t="s">
        <v>3327</v>
      </c>
    </row>
    <row r="241" spans="1:9" x14ac:dyDescent="0.3">
      <c r="A241" s="8" t="s">
        <v>2939</v>
      </c>
      <c r="C241" s="10" t="s">
        <v>1359</v>
      </c>
      <c r="E241" s="10" t="s">
        <v>3914</v>
      </c>
      <c r="G241" s="10" t="s">
        <v>4096</v>
      </c>
      <c r="I241" s="10" t="s">
        <v>3328</v>
      </c>
    </row>
    <row r="242" spans="1:9" x14ac:dyDescent="0.3">
      <c r="A242" s="8" t="s">
        <v>19</v>
      </c>
      <c r="C242" s="10" t="s">
        <v>19</v>
      </c>
      <c r="E242" s="10" t="s">
        <v>19</v>
      </c>
      <c r="G242" s="10" t="s">
        <v>19</v>
      </c>
      <c r="I242" s="10" t="s">
        <v>19</v>
      </c>
    </row>
    <row r="243" spans="1:9" x14ac:dyDescent="0.3">
      <c r="A243" s="8" t="s">
        <v>37</v>
      </c>
      <c r="C243" s="10" t="s">
        <v>1347</v>
      </c>
      <c r="E243" s="10" t="s">
        <v>1347</v>
      </c>
      <c r="G243" s="10" t="s">
        <v>1347</v>
      </c>
      <c r="I243" s="10" t="s">
        <v>1347</v>
      </c>
    </row>
    <row r="244" spans="1:9" x14ac:dyDescent="0.3">
      <c r="A244" s="8" t="s">
        <v>2932</v>
      </c>
      <c r="C244" s="10" t="s">
        <v>1352</v>
      </c>
      <c r="E244" s="10" t="s">
        <v>3909</v>
      </c>
      <c r="G244" s="10" t="s">
        <v>4091</v>
      </c>
      <c r="I244" s="10" t="s">
        <v>3323</v>
      </c>
    </row>
    <row r="245" spans="1:9" x14ac:dyDescent="0.3">
      <c r="A245" s="8" t="s">
        <v>2933</v>
      </c>
      <c r="C245" s="10" t="s">
        <v>1353</v>
      </c>
      <c r="E245" s="10" t="s">
        <v>3910</v>
      </c>
      <c r="G245" s="10" t="s">
        <v>4092</v>
      </c>
      <c r="I245" s="10" t="s">
        <v>3324</v>
      </c>
    </row>
    <row r="246" spans="1:9" x14ac:dyDescent="0.3">
      <c r="A246" s="8" t="s">
        <v>2934</v>
      </c>
      <c r="C246" s="10" t="s">
        <v>1354</v>
      </c>
      <c r="E246" s="10" t="s">
        <v>1354</v>
      </c>
      <c r="G246" s="10" t="s">
        <v>1354</v>
      </c>
      <c r="I246" s="10" t="s">
        <v>1354</v>
      </c>
    </row>
    <row r="247" spans="1:9" x14ac:dyDescent="0.3">
      <c r="A247" s="8" t="s">
        <v>2935</v>
      </c>
      <c r="C247" s="10" t="s">
        <v>1355</v>
      </c>
      <c r="E247" s="10" t="s">
        <v>3911</v>
      </c>
      <c r="G247" s="10" t="s">
        <v>4093</v>
      </c>
      <c r="I247" s="10" t="s">
        <v>3325</v>
      </c>
    </row>
    <row r="248" spans="1:9" x14ac:dyDescent="0.3">
      <c r="A248" s="8" t="s">
        <v>2936</v>
      </c>
      <c r="C248" s="10" t="s">
        <v>1356</v>
      </c>
      <c r="E248" s="10" t="s">
        <v>3912</v>
      </c>
      <c r="G248" s="10" t="s">
        <v>4094</v>
      </c>
      <c r="I248" s="10" t="s">
        <v>3326</v>
      </c>
    </row>
    <row r="249" spans="1:9" x14ac:dyDescent="0.3">
      <c r="A249" s="8" t="s">
        <v>2937</v>
      </c>
      <c r="C249" s="10" t="s">
        <v>1357</v>
      </c>
      <c r="E249" s="10" t="s">
        <v>1357</v>
      </c>
      <c r="G249" s="10" t="s">
        <v>1357</v>
      </c>
      <c r="I249" s="10" t="s">
        <v>1357</v>
      </c>
    </row>
    <row r="250" spans="1:9" x14ac:dyDescent="0.3">
      <c r="A250" s="8" t="s">
        <v>2938</v>
      </c>
      <c r="C250" s="10" t="s">
        <v>1358</v>
      </c>
      <c r="E250" s="10" t="s">
        <v>3913</v>
      </c>
      <c r="G250" s="10" t="s">
        <v>4095</v>
      </c>
      <c r="I250" s="10" t="s">
        <v>3327</v>
      </c>
    </row>
    <row r="251" spans="1:9" x14ac:dyDescent="0.3">
      <c r="A251" s="8" t="s">
        <v>2939</v>
      </c>
      <c r="C251" s="10" t="s">
        <v>1359</v>
      </c>
      <c r="E251" s="10" t="s">
        <v>3914</v>
      </c>
      <c r="G251" s="10" t="s">
        <v>4096</v>
      </c>
      <c r="I251" s="10" t="s">
        <v>3328</v>
      </c>
    </row>
    <row r="252" spans="1:9" x14ac:dyDescent="0.3">
      <c r="A252" s="8" t="s">
        <v>19</v>
      </c>
      <c r="C252" s="10" t="s">
        <v>19</v>
      </c>
      <c r="E252" s="10" t="s">
        <v>19</v>
      </c>
      <c r="G252" s="10" t="s">
        <v>19</v>
      </c>
      <c r="I252" s="10" t="s">
        <v>19</v>
      </c>
    </row>
    <row r="253" spans="1:9" x14ac:dyDescent="0.3">
      <c r="A253" s="8" t="s">
        <v>39</v>
      </c>
      <c r="C253" s="10" t="s">
        <v>1348</v>
      </c>
      <c r="E253" s="10" t="s">
        <v>1348</v>
      </c>
      <c r="G253" s="10" t="s">
        <v>1348</v>
      </c>
      <c r="I253" s="10" t="s">
        <v>1348</v>
      </c>
    </row>
    <row r="254" spans="1:9" x14ac:dyDescent="0.3">
      <c r="A254" s="8" t="s">
        <v>2932</v>
      </c>
      <c r="C254" s="10" t="s">
        <v>1352</v>
      </c>
      <c r="E254" s="10" t="s">
        <v>3909</v>
      </c>
      <c r="G254" s="10" t="s">
        <v>4091</v>
      </c>
      <c r="I254" s="10" t="s">
        <v>3323</v>
      </c>
    </row>
    <row r="255" spans="1:9" x14ac:dyDescent="0.3">
      <c r="A255" s="8" t="s">
        <v>2933</v>
      </c>
      <c r="C255" s="10" t="s">
        <v>1353</v>
      </c>
      <c r="E255" s="10" t="s">
        <v>3910</v>
      </c>
      <c r="G255" s="10" t="s">
        <v>4092</v>
      </c>
      <c r="I255" s="10" t="s">
        <v>3324</v>
      </c>
    </row>
    <row r="256" spans="1:9" x14ac:dyDescent="0.3">
      <c r="A256" s="8" t="s">
        <v>2934</v>
      </c>
      <c r="C256" s="10" t="s">
        <v>1354</v>
      </c>
      <c r="E256" s="10" t="s">
        <v>1354</v>
      </c>
      <c r="G256" s="10" t="s">
        <v>1354</v>
      </c>
      <c r="I256" s="10" t="s">
        <v>1354</v>
      </c>
    </row>
    <row r="257" spans="1:9" x14ac:dyDescent="0.3">
      <c r="A257" s="8" t="s">
        <v>2935</v>
      </c>
      <c r="C257" s="10" t="s">
        <v>1355</v>
      </c>
      <c r="E257" s="10" t="s">
        <v>3911</v>
      </c>
      <c r="G257" s="10" t="s">
        <v>4093</v>
      </c>
      <c r="I257" s="10" t="s">
        <v>3325</v>
      </c>
    </row>
    <row r="258" spans="1:9" x14ac:dyDescent="0.3">
      <c r="A258" s="8" t="s">
        <v>2936</v>
      </c>
      <c r="C258" s="10" t="s">
        <v>1356</v>
      </c>
      <c r="E258" s="10" t="s">
        <v>3912</v>
      </c>
      <c r="G258" s="10" t="s">
        <v>4094</v>
      </c>
      <c r="I258" s="10" t="s">
        <v>3326</v>
      </c>
    </row>
    <row r="259" spans="1:9" x14ac:dyDescent="0.3">
      <c r="A259" s="8" t="s">
        <v>2937</v>
      </c>
      <c r="C259" s="10" t="s">
        <v>1357</v>
      </c>
      <c r="E259" s="10" t="s">
        <v>1357</v>
      </c>
      <c r="G259" s="10" t="s">
        <v>1357</v>
      </c>
      <c r="I259" s="10" t="s">
        <v>1357</v>
      </c>
    </row>
    <row r="260" spans="1:9" x14ac:dyDescent="0.3">
      <c r="A260" s="8" t="s">
        <v>2938</v>
      </c>
      <c r="C260" s="10" t="s">
        <v>1358</v>
      </c>
      <c r="E260" s="10" t="s">
        <v>3913</v>
      </c>
      <c r="G260" s="10" t="s">
        <v>4095</v>
      </c>
      <c r="I260" s="10" t="s">
        <v>3327</v>
      </c>
    </row>
    <row r="261" spans="1:9" x14ac:dyDescent="0.3">
      <c r="A261" s="8" t="s">
        <v>2939</v>
      </c>
      <c r="C261" s="10" t="s">
        <v>1359</v>
      </c>
      <c r="E261" s="10" t="s">
        <v>3914</v>
      </c>
      <c r="G261" s="10" t="s">
        <v>4096</v>
      </c>
      <c r="I261" s="10" t="s">
        <v>3328</v>
      </c>
    </row>
    <row r="262" spans="1:9" x14ac:dyDescent="0.3">
      <c r="A262" s="8" t="s">
        <v>19</v>
      </c>
      <c r="C262" s="10" t="s">
        <v>19</v>
      </c>
      <c r="E262" s="10" t="s">
        <v>19</v>
      </c>
      <c r="G262" s="10" t="s">
        <v>19</v>
      </c>
      <c r="I262" s="10" t="s">
        <v>19</v>
      </c>
    </row>
    <row r="263" spans="1:9" x14ac:dyDescent="0.3">
      <c r="A263" s="8" t="s">
        <v>40</v>
      </c>
      <c r="C263" s="10" t="s">
        <v>1349</v>
      </c>
      <c r="E263" s="10" t="s">
        <v>1349</v>
      </c>
      <c r="G263" s="10" t="s">
        <v>1349</v>
      </c>
      <c r="I263" s="10" t="s">
        <v>1349</v>
      </c>
    </row>
    <row r="264" spans="1:9" x14ac:dyDescent="0.3">
      <c r="A264" s="8" t="s">
        <v>2932</v>
      </c>
      <c r="C264" s="10" t="s">
        <v>1352</v>
      </c>
      <c r="E264" s="10" t="s">
        <v>3909</v>
      </c>
      <c r="G264" s="10" t="s">
        <v>4091</v>
      </c>
      <c r="I264" s="10" t="s">
        <v>3323</v>
      </c>
    </row>
    <row r="265" spans="1:9" x14ac:dyDescent="0.3">
      <c r="A265" s="8" t="s">
        <v>2933</v>
      </c>
      <c r="C265" s="10" t="s">
        <v>1353</v>
      </c>
      <c r="E265" s="10" t="s">
        <v>3910</v>
      </c>
      <c r="G265" s="10" t="s">
        <v>4092</v>
      </c>
      <c r="I265" s="10" t="s">
        <v>3324</v>
      </c>
    </row>
    <row r="266" spans="1:9" x14ac:dyDescent="0.3">
      <c r="A266" s="8" t="s">
        <v>2934</v>
      </c>
      <c r="C266" s="10" t="s">
        <v>1354</v>
      </c>
      <c r="E266" s="10" t="s">
        <v>1354</v>
      </c>
      <c r="G266" s="10" t="s">
        <v>1354</v>
      </c>
      <c r="I266" s="10" t="s">
        <v>1354</v>
      </c>
    </row>
    <row r="267" spans="1:9" x14ac:dyDescent="0.3">
      <c r="A267" s="8" t="s">
        <v>2935</v>
      </c>
      <c r="C267" s="10" t="s">
        <v>1355</v>
      </c>
      <c r="E267" s="10" t="s">
        <v>3911</v>
      </c>
      <c r="G267" s="10" t="s">
        <v>4093</v>
      </c>
      <c r="I267" s="10" t="s">
        <v>3325</v>
      </c>
    </row>
    <row r="268" spans="1:9" x14ac:dyDescent="0.3">
      <c r="A268" s="8" t="s">
        <v>2936</v>
      </c>
      <c r="C268" s="10" t="s">
        <v>1356</v>
      </c>
      <c r="E268" s="10" t="s">
        <v>3912</v>
      </c>
      <c r="G268" s="10" t="s">
        <v>4094</v>
      </c>
      <c r="I268" s="10" t="s">
        <v>3326</v>
      </c>
    </row>
    <row r="269" spans="1:9" x14ac:dyDescent="0.3">
      <c r="A269" s="8" t="s">
        <v>2937</v>
      </c>
      <c r="C269" s="10" t="s">
        <v>1357</v>
      </c>
      <c r="E269" s="10" t="s">
        <v>1357</v>
      </c>
      <c r="G269" s="10" t="s">
        <v>1357</v>
      </c>
      <c r="I269" s="10" t="s">
        <v>1357</v>
      </c>
    </row>
    <row r="270" spans="1:9" x14ac:dyDescent="0.3">
      <c r="A270" s="8" t="s">
        <v>2938</v>
      </c>
      <c r="C270" s="10" t="s">
        <v>1358</v>
      </c>
      <c r="E270" s="10" t="s">
        <v>3913</v>
      </c>
      <c r="G270" s="10" t="s">
        <v>4095</v>
      </c>
      <c r="I270" s="10" t="s">
        <v>3327</v>
      </c>
    </row>
    <row r="271" spans="1:9" x14ac:dyDescent="0.3">
      <c r="A271" s="8" t="s">
        <v>2939</v>
      </c>
      <c r="C271" s="10" t="s">
        <v>1359</v>
      </c>
      <c r="E271" s="10" t="s">
        <v>3914</v>
      </c>
      <c r="G271" s="10" t="s">
        <v>4096</v>
      </c>
      <c r="I271" s="10" t="s">
        <v>3328</v>
      </c>
    </row>
    <row r="272" spans="1:9" x14ac:dyDescent="0.3">
      <c r="A272" s="8" t="s">
        <v>19</v>
      </c>
      <c r="C272" s="10" t="s">
        <v>19</v>
      </c>
      <c r="E272" s="10" t="s">
        <v>19</v>
      </c>
      <c r="G272" s="10" t="s">
        <v>19</v>
      </c>
      <c r="I272" s="10" t="s">
        <v>19</v>
      </c>
    </row>
    <row r="273" spans="1:9" x14ac:dyDescent="0.3">
      <c r="A273" s="8" t="s">
        <v>42</v>
      </c>
      <c r="C273" s="10" t="s">
        <v>1350</v>
      </c>
      <c r="E273" s="10" t="s">
        <v>1350</v>
      </c>
      <c r="G273" s="10" t="s">
        <v>1350</v>
      </c>
      <c r="I273" s="10" t="s">
        <v>1350</v>
      </c>
    </row>
    <row r="274" spans="1:9" x14ac:dyDescent="0.3">
      <c r="A274" s="8" t="s">
        <v>2932</v>
      </c>
      <c r="C274" s="10" t="s">
        <v>1352</v>
      </c>
      <c r="E274" s="10" t="s">
        <v>3909</v>
      </c>
      <c r="G274" s="10" t="s">
        <v>4091</v>
      </c>
      <c r="I274" s="10" t="s">
        <v>3323</v>
      </c>
    </row>
    <row r="275" spans="1:9" x14ac:dyDescent="0.3">
      <c r="A275" s="8" t="s">
        <v>2933</v>
      </c>
      <c r="C275" s="10" t="s">
        <v>1353</v>
      </c>
      <c r="E275" s="10" t="s">
        <v>3910</v>
      </c>
      <c r="G275" s="10" t="s">
        <v>4092</v>
      </c>
      <c r="I275" s="10" t="s">
        <v>3324</v>
      </c>
    </row>
    <row r="276" spans="1:9" x14ac:dyDescent="0.3">
      <c r="A276" s="8" t="s">
        <v>2934</v>
      </c>
      <c r="C276" s="10" t="s">
        <v>1354</v>
      </c>
      <c r="E276" s="10" t="s">
        <v>1354</v>
      </c>
      <c r="G276" s="10" t="s">
        <v>1354</v>
      </c>
      <c r="I276" s="10" t="s">
        <v>1354</v>
      </c>
    </row>
    <row r="277" spans="1:9" x14ac:dyDescent="0.3">
      <c r="A277" s="8" t="s">
        <v>2935</v>
      </c>
      <c r="C277" s="10" t="s">
        <v>1355</v>
      </c>
      <c r="E277" s="10" t="s">
        <v>3911</v>
      </c>
      <c r="G277" s="10" t="s">
        <v>4093</v>
      </c>
      <c r="I277" s="10" t="s">
        <v>3325</v>
      </c>
    </row>
    <row r="278" spans="1:9" x14ac:dyDescent="0.3">
      <c r="A278" s="8" t="s">
        <v>2936</v>
      </c>
      <c r="C278" s="10" t="s">
        <v>1356</v>
      </c>
      <c r="E278" s="10" t="s">
        <v>3912</v>
      </c>
      <c r="G278" s="10" t="s">
        <v>4094</v>
      </c>
      <c r="I278" s="10" t="s">
        <v>3326</v>
      </c>
    </row>
    <row r="279" spans="1:9" x14ac:dyDescent="0.3">
      <c r="A279" s="8" t="s">
        <v>2937</v>
      </c>
      <c r="C279" s="10" t="s">
        <v>1357</v>
      </c>
      <c r="E279" s="10" t="s">
        <v>1357</v>
      </c>
      <c r="G279" s="10" t="s">
        <v>1357</v>
      </c>
      <c r="I279" s="10" t="s">
        <v>1357</v>
      </c>
    </row>
    <row r="280" spans="1:9" x14ac:dyDescent="0.3">
      <c r="A280" s="8" t="s">
        <v>2938</v>
      </c>
      <c r="C280" s="10" t="s">
        <v>1358</v>
      </c>
      <c r="E280" s="10" t="s">
        <v>3913</v>
      </c>
      <c r="G280" s="10" t="s">
        <v>4095</v>
      </c>
      <c r="I280" s="10" t="s">
        <v>3327</v>
      </c>
    </row>
    <row r="281" spans="1:9" x14ac:dyDescent="0.3">
      <c r="A281" s="8" t="s">
        <v>2939</v>
      </c>
      <c r="C281" s="10" t="s">
        <v>1359</v>
      </c>
      <c r="E281" s="10" t="s">
        <v>3914</v>
      </c>
      <c r="G281" s="10" t="s">
        <v>4096</v>
      </c>
      <c r="I281" s="10" t="s">
        <v>3328</v>
      </c>
    </row>
    <row r="282" spans="1:9" x14ac:dyDescent="0.3">
      <c r="A282" s="8" t="s">
        <v>20</v>
      </c>
      <c r="C282" s="10" t="s">
        <v>20</v>
      </c>
      <c r="E282" s="10" t="s">
        <v>20</v>
      </c>
      <c r="G282" s="10" t="s">
        <v>20</v>
      </c>
      <c r="I282" s="10" t="s">
        <v>20</v>
      </c>
    </row>
    <row r="283" spans="1:9" x14ac:dyDescent="0.3">
      <c r="A283" s="8" t="s">
        <v>21</v>
      </c>
      <c r="C283" s="10" t="s">
        <v>21</v>
      </c>
      <c r="E283" s="10" t="s">
        <v>21</v>
      </c>
      <c r="G283" s="10" t="s">
        <v>21</v>
      </c>
      <c r="I283" s="10" t="s">
        <v>21</v>
      </c>
    </row>
    <row r="284" spans="1:9" x14ac:dyDescent="0.3">
      <c r="A284" s="8" t="s">
        <v>43</v>
      </c>
      <c r="C284" s="10" t="s">
        <v>1340</v>
      </c>
      <c r="E284" s="10" t="s">
        <v>1340</v>
      </c>
      <c r="G284" s="10" t="s">
        <v>1340</v>
      </c>
      <c r="I284" s="10" t="s">
        <v>1340</v>
      </c>
    </row>
    <row r="285" spans="1:9" x14ac:dyDescent="0.3">
      <c r="A285" s="8" t="s">
        <v>44</v>
      </c>
      <c r="C285" s="10" t="s">
        <v>1351</v>
      </c>
      <c r="E285" s="10" t="s">
        <v>1351</v>
      </c>
      <c r="G285" s="10" t="s">
        <v>1351</v>
      </c>
      <c r="I285" s="10" t="s">
        <v>1351</v>
      </c>
    </row>
    <row r="286" spans="1:9" x14ac:dyDescent="0.3">
      <c r="A286" s="8" t="s">
        <v>2932</v>
      </c>
      <c r="C286" s="10" t="s">
        <v>1352</v>
      </c>
      <c r="E286" s="10" t="s">
        <v>3909</v>
      </c>
      <c r="G286" s="10" t="s">
        <v>4091</v>
      </c>
      <c r="I286" s="10" t="s">
        <v>3323</v>
      </c>
    </row>
    <row r="287" spans="1:9" x14ac:dyDescent="0.3">
      <c r="A287" s="8" t="s">
        <v>2933</v>
      </c>
      <c r="C287" s="10" t="s">
        <v>1353</v>
      </c>
      <c r="E287" s="10" t="s">
        <v>3910</v>
      </c>
      <c r="G287" s="10" t="s">
        <v>4092</v>
      </c>
      <c r="I287" s="10" t="s">
        <v>3324</v>
      </c>
    </row>
    <row r="288" spans="1:9" x14ac:dyDescent="0.3">
      <c r="A288" s="8" t="s">
        <v>2934</v>
      </c>
      <c r="C288" s="10" t="s">
        <v>1354</v>
      </c>
      <c r="E288" s="10" t="s">
        <v>1354</v>
      </c>
      <c r="G288" s="10" t="s">
        <v>1354</v>
      </c>
      <c r="I288" s="10" t="s">
        <v>1354</v>
      </c>
    </row>
    <row r="289" spans="1:9" x14ac:dyDescent="0.3">
      <c r="A289" s="8" t="s">
        <v>2935</v>
      </c>
      <c r="C289" s="10" t="s">
        <v>1355</v>
      </c>
      <c r="E289" s="10" t="s">
        <v>3911</v>
      </c>
      <c r="G289" s="10" t="s">
        <v>4093</v>
      </c>
      <c r="I289" s="10" t="s">
        <v>3325</v>
      </c>
    </row>
    <row r="290" spans="1:9" x14ac:dyDescent="0.3">
      <c r="A290" s="8" t="s">
        <v>2936</v>
      </c>
      <c r="C290" s="10" t="s">
        <v>1356</v>
      </c>
      <c r="E290" s="10" t="s">
        <v>3912</v>
      </c>
      <c r="G290" s="10" t="s">
        <v>4094</v>
      </c>
      <c r="I290" s="10" t="s">
        <v>3326</v>
      </c>
    </row>
    <row r="291" spans="1:9" x14ac:dyDescent="0.3">
      <c r="A291" s="8" t="s">
        <v>2937</v>
      </c>
      <c r="C291" s="10" t="s">
        <v>1357</v>
      </c>
      <c r="E291" s="10" t="s">
        <v>1357</v>
      </c>
      <c r="G291" s="10" t="s">
        <v>1357</v>
      </c>
      <c r="I291" s="10" t="s">
        <v>1357</v>
      </c>
    </row>
    <row r="292" spans="1:9" x14ac:dyDescent="0.3">
      <c r="A292" s="8" t="s">
        <v>2938</v>
      </c>
      <c r="C292" s="10" t="s">
        <v>1358</v>
      </c>
      <c r="E292" s="10" t="s">
        <v>3913</v>
      </c>
      <c r="G292" s="10" t="s">
        <v>4095</v>
      </c>
      <c r="I292" s="10" t="s">
        <v>3327</v>
      </c>
    </row>
    <row r="293" spans="1:9" x14ac:dyDescent="0.3">
      <c r="A293" s="8" t="s">
        <v>2939</v>
      </c>
      <c r="C293" s="10" t="s">
        <v>1359</v>
      </c>
      <c r="E293" s="10" t="s">
        <v>3914</v>
      </c>
      <c r="G293" s="10" t="s">
        <v>4096</v>
      </c>
      <c r="I293" s="10" t="s">
        <v>3328</v>
      </c>
    </row>
    <row r="294" spans="1:9" x14ac:dyDescent="0.3">
      <c r="A294" s="8" t="s">
        <v>20</v>
      </c>
      <c r="C294" s="10" t="s">
        <v>20</v>
      </c>
      <c r="E294" s="10" t="s">
        <v>20</v>
      </c>
      <c r="G294" s="10" t="s">
        <v>20</v>
      </c>
      <c r="I294" s="10" t="s">
        <v>20</v>
      </c>
    </row>
    <row r="295" spans="1:9" x14ac:dyDescent="0.3">
      <c r="A295" s="8" t="s">
        <v>22</v>
      </c>
      <c r="C295" s="10" t="s">
        <v>22</v>
      </c>
      <c r="E295" s="10" t="s">
        <v>22</v>
      </c>
      <c r="G295" s="10" t="s">
        <v>22</v>
      </c>
      <c r="I295" s="10" t="s">
        <v>22</v>
      </c>
    </row>
    <row r="296" spans="1:9" x14ac:dyDescent="0.3">
      <c r="A296" s="8" t="s">
        <v>23</v>
      </c>
      <c r="C296" s="10" t="s">
        <v>23</v>
      </c>
      <c r="E296" s="10" t="s">
        <v>23</v>
      </c>
      <c r="G296" s="10" t="s">
        <v>23</v>
      </c>
      <c r="I296" s="10" t="s">
        <v>23</v>
      </c>
    </row>
    <row r="297" spans="1:9" x14ac:dyDescent="0.3">
      <c r="A297" s="8" t="s">
        <v>60</v>
      </c>
      <c r="C297" s="10" t="s">
        <v>1339</v>
      </c>
      <c r="E297" s="10" t="s">
        <v>1339</v>
      </c>
      <c r="G297" s="10" t="s">
        <v>1339</v>
      </c>
      <c r="I297" s="10" t="s">
        <v>1339</v>
      </c>
    </row>
    <row r="298" spans="1:9" x14ac:dyDescent="0.3">
      <c r="A298" s="8" t="s">
        <v>27</v>
      </c>
      <c r="C298" s="10" t="s">
        <v>1337</v>
      </c>
      <c r="E298" s="10" t="s">
        <v>1337</v>
      </c>
      <c r="G298" s="10" t="s">
        <v>1337</v>
      </c>
      <c r="I298" s="10" t="s">
        <v>1337</v>
      </c>
    </row>
    <row r="299" spans="1:9" x14ac:dyDescent="0.3">
      <c r="A299" s="8" t="s">
        <v>28</v>
      </c>
      <c r="C299" s="10" t="s">
        <v>1343</v>
      </c>
      <c r="E299" s="10" t="s">
        <v>1343</v>
      </c>
      <c r="G299" s="10" t="s">
        <v>1343</v>
      </c>
      <c r="I299" s="10" t="s">
        <v>1343</v>
      </c>
    </row>
    <row r="300" spans="1:9" x14ac:dyDescent="0.3">
      <c r="A300" s="8" t="s">
        <v>2932</v>
      </c>
      <c r="C300" s="10" t="s">
        <v>1352</v>
      </c>
      <c r="E300" s="10" t="s">
        <v>3909</v>
      </c>
      <c r="G300" s="10" t="s">
        <v>4091</v>
      </c>
      <c r="I300" s="10" t="s">
        <v>3329</v>
      </c>
    </row>
    <row r="301" spans="1:9" x14ac:dyDescent="0.3">
      <c r="A301" s="8" t="s">
        <v>2933</v>
      </c>
      <c r="C301" s="10" t="s">
        <v>1353</v>
      </c>
      <c r="E301" s="10" t="s">
        <v>3910</v>
      </c>
      <c r="G301" s="10" t="s">
        <v>4092</v>
      </c>
      <c r="I301" s="10" t="s">
        <v>3330</v>
      </c>
    </row>
    <row r="302" spans="1:9" x14ac:dyDescent="0.3">
      <c r="A302" s="8" t="s">
        <v>2934</v>
      </c>
      <c r="C302" s="10" t="s">
        <v>1354</v>
      </c>
      <c r="E302" s="10" t="s">
        <v>1354</v>
      </c>
      <c r="G302" s="10" t="s">
        <v>1354</v>
      </c>
      <c r="I302" s="10" t="s">
        <v>1354</v>
      </c>
    </row>
    <row r="303" spans="1:9" x14ac:dyDescent="0.3">
      <c r="A303" s="8" t="s">
        <v>2935</v>
      </c>
      <c r="C303" s="10" t="s">
        <v>1355</v>
      </c>
      <c r="E303" s="10" t="s">
        <v>3911</v>
      </c>
      <c r="G303" s="10" t="s">
        <v>4093</v>
      </c>
      <c r="I303" s="10" t="s">
        <v>3331</v>
      </c>
    </row>
    <row r="304" spans="1:9" x14ac:dyDescent="0.3">
      <c r="A304" s="8" t="s">
        <v>2936</v>
      </c>
      <c r="C304" s="10" t="s">
        <v>1356</v>
      </c>
      <c r="E304" s="10" t="s">
        <v>3912</v>
      </c>
      <c r="G304" s="10" t="s">
        <v>4094</v>
      </c>
      <c r="I304" s="10" t="s">
        <v>3332</v>
      </c>
    </row>
    <row r="305" spans="1:9" x14ac:dyDescent="0.3">
      <c r="A305" s="8" t="s">
        <v>2937</v>
      </c>
      <c r="C305" s="10" t="s">
        <v>1357</v>
      </c>
      <c r="E305" s="10" t="s">
        <v>1357</v>
      </c>
      <c r="G305" s="10" t="s">
        <v>1357</v>
      </c>
      <c r="I305" s="10" t="s">
        <v>1357</v>
      </c>
    </row>
    <row r="306" spans="1:9" x14ac:dyDescent="0.3">
      <c r="A306" s="8" t="s">
        <v>2938</v>
      </c>
      <c r="C306" s="10" t="s">
        <v>1358</v>
      </c>
      <c r="E306" s="10" t="s">
        <v>3913</v>
      </c>
      <c r="G306" s="10" t="s">
        <v>4095</v>
      </c>
      <c r="I306" s="10" t="s">
        <v>3333</v>
      </c>
    </row>
    <row r="307" spans="1:9" x14ac:dyDescent="0.3">
      <c r="A307" s="8" t="s">
        <v>2939</v>
      </c>
      <c r="C307" s="10" t="s">
        <v>1359</v>
      </c>
      <c r="E307" s="10" t="s">
        <v>3914</v>
      </c>
      <c r="G307" s="10" t="s">
        <v>4096</v>
      </c>
      <c r="I307" s="10" t="s">
        <v>3334</v>
      </c>
    </row>
    <row r="308" spans="1:9" x14ac:dyDescent="0.3">
      <c r="A308" s="8" t="s">
        <v>19</v>
      </c>
      <c r="C308" s="10" t="s">
        <v>19</v>
      </c>
      <c r="E308" s="10" t="s">
        <v>19</v>
      </c>
      <c r="G308" s="10" t="s">
        <v>19</v>
      </c>
      <c r="I308" s="10" t="s">
        <v>19</v>
      </c>
    </row>
    <row r="309" spans="1:9" x14ac:dyDescent="0.3">
      <c r="A309" s="8" t="s">
        <v>30</v>
      </c>
      <c r="C309" s="10" t="s">
        <v>1344</v>
      </c>
      <c r="E309" s="10" t="s">
        <v>1344</v>
      </c>
      <c r="G309" s="10" t="s">
        <v>1344</v>
      </c>
      <c r="I309" s="10" t="s">
        <v>1344</v>
      </c>
    </row>
    <row r="310" spans="1:9" x14ac:dyDescent="0.3">
      <c r="A310" s="8" t="s">
        <v>2932</v>
      </c>
      <c r="C310" s="10" t="s">
        <v>1352</v>
      </c>
      <c r="E310" s="10" t="s">
        <v>3909</v>
      </c>
      <c r="G310" s="10" t="s">
        <v>4091</v>
      </c>
      <c r="I310" s="10" t="s">
        <v>3329</v>
      </c>
    </row>
    <row r="311" spans="1:9" x14ac:dyDescent="0.3">
      <c r="A311" s="8" t="s">
        <v>2933</v>
      </c>
      <c r="C311" s="10" t="s">
        <v>1353</v>
      </c>
      <c r="E311" s="10" t="s">
        <v>3910</v>
      </c>
      <c r="G311" s="10" t="s">
        <v>4092</v>
      </c>
      <c r="I311" s="10" t="s">
        <v>3330</v>
      </c>
    </row>
    <row r="312" spans="1:9" x14ac:dyDescent="0.3">
      <c r="A312" s="8" t="s">
        <v>2934</v>
      </c>
      <c r="C312" s="10" t="s">
        <v>1354</v>
      </c>
      <c r="E312" s="10" t="s">
        <v>1354</v>
      </c>
      <c r="G312" s="10" t="s">
        <v>1354</v>
      </c>
      <c r="I312" s="10" t="s">
        <v>1354</v>
      </c>
    </row>
    <row r="313" spans="1:9" x14ac:dyDescent="0.3">
      <c r="A313" s="8" t="s">
        <v>2935</v>
      </c>
      <c r="C313" s="10" t="s">
        <v>1355</v>
      </c>
      <c r="E313" s="10" t="s">
        <v>3911</v>
      </c>
      <c r="G313" s="10" t="s">
        <v>4093</v>
      </c>
      <c r="I313" s="10" t="s">
        <v>3331</v>
      </c>
    </row>
    <row r="314" spans="1:9" x14ac:dyDescent="0.3">
      <c r="A314" s="8" t="s">
        <v>2936</v>
      </c>
      <c r="C314" s="10" t="s">
        <v>1356</v>
      </c>
      <c r="E314" s="10" t="s">
        <v>3912</v>
      </c>
      <c r="G314" s="10" t="s">
        <v>4094</v>
      </c>
      <c r="I314" s="10" t="s">
        <v>3332</v>
      </c>
    </row>
    <row r="315" spans="1:9" x14ac:dyDescent="0.3">
      <c r="A315" s="8" t="s">
        <v>2937</v>
      </c>
      <c r="C315" s="10" t="s">
        <v>1357</v>
      </c>
      <c r="E315" s="10" t="s">
        <v>1357</v>
      </c>
      <c r="G315" s="10" t="s">
        <v>1357</v>
      </c>
      <c r="I315" s="10" t="s">
        <v>1357</v>
      </c>
    </row>
    <row r="316" spans="1:9" x14ac:dyDescent="0.3">
      <c r="A316" s="8" t="s">
        <v>2938</v>
      </c>
      <c r="C316" s="10" t="s">
        <v>1358</v>
      </c>
      <c r="E316" s="10" t="s">
        <v>3913</v>
      </c>
      <c r="G316" s="10" t="s">
        <v>4095</v>
      </c>
      <c r="I316" s="10" t="s">
        <v>3333</v>
      </c>
    </row>
    <row r="317" spans="1:9" x14ac:dyDescent="0.3">
      <c r="A317" s="8" t="s">
        <v>2939</v>
      </c>
      <c r="C317" s="10" t="s">
        <v>1359</v>
      </c>
      <c r="E317" s="10" t="s">
        <v>3914</v>
      </c>
      <c r="G317" s="10" t="s">
        <v>4096</v>
      </c>
      <c r="I317" s="10" t="s">
        <v>3334</v>
      </c>
    </row>
    <row r="318" spans="1:9" x14ac:dyDescent="0.3">
      <c r="A318" s="8" t="s">
        <v>19</v>
      </c>
      <c r="C318" s="10" t="s">
        <v>19</v>
      </c>
      <c r="E318" s="10" t="s">
        <v>19</v>
      </c>
      <c r="G318" s="10" t="s">
        <v>19</v>
      </c>
      <c r="I318" s="10" t="s">
        <v>19</v>
      </c>
    </row>
    <row r="319" spans="1:9" x14ac:dyDescent="0.3">
      <c r="A319" s="8" t="s">
        <v>32</v>
      </c>
      <c r="C319" s="10" t="s">
        <v>1345</v>
      </c>
      <c r="E319" s="10" t="s">
        <v>1345</v>
      </c>
      <c r="G319" s="10" t="s">
        <v>1345</v>
      </c>
      <c r="I319" s="10" t="s">
        <v>1345</v>
      </c>
    </row>
    <row r="320" spans="1:9" x14ac:dyDescent="0.3">
      <c r="A320" s="8" t="s">
        <v>2932</v>
      </c>
      <c r="C320" s="10" t="s">
        <v>1352</v>
      </c>
      <c r="E320" s="10" t="s">
        <v>3909</v>
      </c>
      <c r="G320" s="10" t="s">
        <v>4091</v>
      </c>
      <c r="I320" s="10" t="s">
        <v>3329</v>
      </c>
    </row>
    <row r="321" spans="1:9" x14ac:dyDescent="0.3">
      <c r="A321" s="8" t="s">
        <v>2933</v>
      </c>
      <c r="C321" s="10" t="s">
        <v>1353</v>
      </c>
      <c r="E321" s="10" t="s">
        <v>3910</v>
      </c>
      <c r="G321" s="10" t="s">
        <v>4092</v>
      </c>
      <c r="I321" s="10" t="s">
        <v>3330</v>
      </c>
    </row>
    <row r="322" spans="1:9" x14ac:dyDescent="0.3">
      <c r="A322" s="8" t="s">
        <v>2934</v>
      </c>
      <c r="C322" s="10" t="s">
        <v>1354</v>
      </c>
      <c r="E322" s="10" t="s">
        <v>1354</v>
      </c>
      <c r="G322" s="10" t="s">
        <v>1354</v>
      </c>
      <c r="I322" s="10" t="s">
        <v>1354</v>
      </c>
    </row>
    <row r="323" spans="1:9" x14ac:dyDescent="0.3">
      <c r="A323" s="8" t="s">
        <v>2935</v>
      </c>
      <c r="C323" s="10" t="s">
        <v>1355</v>
      </c>
      <c r="E323" s="10" t="s">
        <v>3911</v>
      </c>
      <c r="G323" s="10" t="s">
        <v>4093</v>
      </c>
      <c r="I323" s="10" t="s">
        <v>3331</v>
      </c>
    </row>
    <row r="324" spans="1:9" x14ac:dyDescent="0.3">
      <c r="A324" s="8" t="s">
        <v>2936</v>
      </c>
      <c r="C324" s="10" t="s">
        <v>1356</v>
      </c>
      <c r="E324" s="10" t="s">
        <v>3912</v>
      </c>
      <c r="G324" s="10" t="s">
        <v>4094</v>
      </c>
      <c r="I324" s="10" t="s">
        <v>3332</v>
      </c>
    </row>
    <row r="325" spans="1:9" x14ac:dyDescent="0.3">
      <c r="A325" s="8" t="s">
        <v>2937</v>
      </c>
      <c r="C325" s="10" t="s">
        <v>1357</v>
      </c>
      <c r="E325" s="10" t="s">
        <v>1357</v>
      </c>
      <c r="G325" s="10" t="s">
        <v>1357</v>
      </c>
      <c r="I325" s="10" t="s">
        <v>1357</v>
      </c>
    </row>
    <row r="326" spans="1:9" x14ac:dyDescent="0.3">
      <c r="A326" s="8" t="s">
        <v>2938</v>
      </c>
      <c r="C326" s="10" t="s">
        <v>1358</v>
      </c>
      <c r="E326" s="10" t="s">
        <v>3913</v>
      </c>
      <c r="G326" s="10" t="s">
        <v>4095</v>
      </c>
      <c r="I326" s="10" t="s">
        <v>3333</v>
      </c>
    </row>
    <row r="327" spans="1:9" x14ac:dyDescent="0.3">
      <c r="A327" s="8" t="s">
        <v>2939</v>
      </c>
      <c r="C327" s="10" t="s">
        <v>1359</v>
      </c>
      <c r="E327" s="10" t="s">
        <v>3914</v>
      </c>
      <c r="G327" s="10" t="s">
        <v>4096</v>
      </c>
      <c r="I327" s="10" t="s">
        <v>3334</v>
      </c>
    </row>
    <row r="328" spans="1:9" x14ac:dyDescent="0.3">
      <c r="A328" s="8" t="s">
        <v>20</v>
      </c>
      <c r="C328" s="10" t="s">
        <v>20</v>
      </c>
      <c r="E328" s="10" t="s">
        <v>20</v>
      </c>
      <c r="G328" s="10" t="s">
        <v>20</v>
      </c>
      <c r="I328" s="10" t="s">
        <v>20</v>
      </c>
    </row>
    <row r="329" spans="1:9" x14ac:dyDescent="0.3">
      <c r="A329" s="8" t="s">
        <v>21</v>
      </c>
      <c r="C329" s="10" t="s">
        <v>21</v>
      </c>
      <c r="E329" s="10" t="s">
        <v>21</v>
      </c>
      <c r="G329" s="10" t="s">
        <v>21</v>
      </c>
      <c r="I329" s="10" t="s">
        <v>21</v>
      </c>
    </row>
    <row r="330" spans="1:9" x14ac:dyDescent="0.3">
      <c r="A330" s="8" t="s">
        <v>34</v>
      </c>
      <c r="C330" s="10" t="s">
        <v>1338</v>
      </c>
      <c r="E330" s="10" t="s">
        <v>1338</v>
      </c>
      <c r="G330" s="10" t="s">
        <v>1338</v>
      </c>
      <c r="I330" s="10" t="s">
        <v>1338</v>
      </c>
    </row>
    <row r="331" spans="1:9" x14ac:dyDescent="0.3">
      <c r="A331" s="8" t="s">
        <v>35</v>
      </c>
      <c r="C331" s="10" t="s">
        <v>1346</v>
      </c>
      <c r="E331" s="10" t="s">
        <v>1346</v>
      </c>
      <c r="G331" s="10" t="s">
        <v>1346</v>
      </c>
      <c r="I331" s="10" t="s">
        <v>1346</v>
      </c>
    </row>
    <row r="332" spans="1:9" x14ac:dyDescent="0.3">
      <c r="A332" s="8" t="s">
        <v>2932</v>
      </c>
      <c r="C332" s="10" t="s">
        <v>1352</v>
      </c>
      <c r="E332" s="10" t="s">
        <v>3909</v>
      </c>
      <c r="G332" s="10" t="s">
        <v>4091</v>
      </c>
      <c r="I332" s="10" t="s">
        <v>3329</v>
      </c>
    </row>
    <row r="333" spans="1:9" x14ac:dyDescent="0.3">
      <c r="A333" s="8" t="s">
        <v>2933</v>
      </c>
      <c r="C333" s="10" t="s">
        <v>1353</v>
      </c>
      <c r="E333" s="10" t="s">
        <v>3910</v>
      </c>
      <c r="G333" s="10" t="s">
        <v>4092</v>
      </c>
      <c r="I333" s="10" t="s">
        <v>3330</v>
      </c>
    </row>
    <row r="334" spans="1:9" x14ac:dyDescent="0.3">
      <c r="A334" s="8" t="s">
        <v>2934</v>
      </c>
      <c r="C334" s="10" t="s">
        <v>1354</v>
      </c>
      <c r="E334" s="10" t="s">
        <v>1354</v>
      </c>
      <c r="G334" s="10" t="s">
        <v>1354</v>
      </c>
      <c r="I334" s="10" t="s">
        <v>1354</v>
      </c>
    </row>
    <row r="335" spans="1:9" x14ac:dyDescent="0.3">
      <c r="A335" s="8" t="s">
        <v>2935</v>
      </c>
      <c r="C335" s="10" t="s">
        <v>1355</v>
      </c>
      <c r="E335" s="10" t="s">
        <v>3911</v>
      </c>
      <c r="G335" s="10" t="s">
        <v>4093</v>
      </c>
      <c r="I335" s="10" t="s">
        <v>3331</v>
      </c>
    </row>
    <row r="336" spans="1:9" x14ac:dyDescent="0.3">
      <c r="A336" s="8" t="s">
        <v>2936</v>
      </c>
      <c r="C336" s="10" t="s">
        <v>1356</v>
      </c>
      <c r="E336" s="10" t="s">
        <v>3912</v>
      </c>
      <c r="G336" s="10" t="s">
        <v>4094</v>
      </c>
      <c r="I336" s="10" t="s">
        <v>3332</v>
      </c>
    </row>
    <row r="337" spans="1:9" x14ac:dyDescent="0.3">
      <c r="A337" s="8" t="s">
        <v>2937</v>
      </c>
      <c r="C337" s="10" t="s">
        <v>1357</v>
      </c>
      <c r="E337" s="10" t="s">
        <v>1357</v>
      </c>
      <c r="G337" s="10" t="s">
        <v>1357</v>
      </c>
      <c r="I337" s="10" t="s">
        <v>1357</v>
      </c>
    </row>
    <row r="338" spans="1:9" x14ac:dyDescent="0.3">
      <c r="A338" s="8" t="s">
        <v>2938</v>
      </c>
      <c r="C338" s="10" t="s">
        <v>1358</v>
      </c>
      <c r="E338" s="10" t="s">
        <v>3913</v>
      </c>
      <c r="G338" s="10" t="s">
        <v>4095</v>
      </c>
      <c r="I338" s="10" t="s">
        <v>3333</v>
      </c>
    </row>
    <row r="339" spans="1:9" x14ac:dyDescent="0.3">
      <c r="A339" s="8" t="s">
        <v>2939</v>
      </c>
      <c r="C339" s="10" t="s">
        <v>1359</v>
      </c>
      <c r="E339" s="10" t="s">
        <v>3914</v>
      </c>
      <c r="G339" s="10" t="s">
        <v>4096</v>
      </c>
      <c r="I339" s="10" t="s">
        <v>3334</v>
      </c>
    </row>
    <row r="340" spans="1:9" x14ac:dyDescent="0.3">
      <c r="A340" s="8" t="s">
        <v>19</v>
      </c>
      <c r="C340" s="10" t="s">
        <v>19</v>
      </c>
      <c r="E340" s="10" t="s">
        <v>19</v>
      </c>
      <c r="G340" s="10" t="s">
        <v>19</v>
      </c>
      <c r="I340" s="10" t="s">
        <v>19</v>
      </c>
    </row>
    <row r="341" spans="1:9" x14ac:dyDescent="0.3">
      <c r="A341" s="8" t="s">
        <v>37</v>
      </c>
      <c r="C341" s="10" t="s">
        <v>1347</v>
      </c>
      <c r="E341" s="10" t="s">
        <v>1347</v>
      </c>
      <c r="G341" s="10" t="s">
        <v>1347</v>
      </c>
      <c r="I341" s="10" t="s">
        <v>1347</v>
      </c>
    </row>
    <row r="342" spans="1:9" x14ac:dyDescent="0.3">
      <c r="A342" s="8" t="s">
        <v>2932</v>
      </c>
      <c r="C342" s="10" t="s">
        <v>1352</v>
      </c>
      <c r="E342" s="10" t="s">
        <v>3909</v>
      </c>
      <c r="G342" s="10" t="s">
        <v>4091</v>
      </c>
      <c r="I342" s="10" t="s">
        <v>3329</v>
      </c>
    </row>
    <row r="343" spans="1:9" x14ac:dyDescent="0.3">
      <c r="A343" s="8" t="s">
        <v>2933</v>
      </c>
      <c r="C343" s="10" t="s">
        <v>1353</v>
      </c>
      <c r="E343" s="10" t="s">
        <v>3910</v>
      </c>
      <c r="G343" s="10" t="s">
        <v>4092</v>
      </c>
      <c r="I343" s="10" t="s">
        <v>3330</v>
      </c>
    </row>
    <row r="344" spans="1:9" x14ac:dyDescent="0.3">
      <c r="A344" s="8" t="s">
        <v>2934</v>
      </c>
      <c r="C344" s="10" t="s">
        <v>1354</v>
      </c>
      <c r="E344" s="10" t="s">
        <v>1354</v>
      </c>
      <c r="G344" s="10" t="s">
        <v>1354</v>
      </c>
      <c r="I344" s="10" t="s">
        <v>1354</v>
      </c>
    </row>
    <row r="345" spans="1:9" x14ac:dyDescent="0.3">
      <c r="A345" s="8" t="s">
        <v>2935</v>
      </c>
      <c r="C345" s="10" t="s">
        <v>1355</v>
      </c>
      <c r="E345" s="10" t="s">
        <v>3911</v>
      </c>
      <c r="G345" s="10" t="s">
        <v>4093</v>
      </c>
      <c r="I345" s="10" t="s">
        <v>3331</v>
      </c>
    </row>
    <row r="346" spans="1:9" x14ac:dyDescent="0.3">
      <c r="A346" s="8" t="s">
        <v>2936</v>
      </c>
      <c r="C346" s="10" t="s">
        <v>1356</v>
      </c>
      <c r="E346" s="10" t="s">
        <v>3912</v>
      </c>
      <c r="G346" s="10" t="s">
        <v>4094</v>
      </c>
      <c r="I346" s="10" t="s">
        <v>3332</v>
      </c>
    </row>
    <row r="347" spans="1:9" x14ac:dyDescent="0.3">
      <c r="A347" s="8" t="s">
        <v>2937</v>
      </c>
      <c r="C347" s="10" t="s">
        <v>1357</v>
      </c>
      <c r="E347" s="10" t="s">
        <v>1357</v>
      </c>
      <c r="G347" s="10" t="s">
        <v>1357</v>
      </c>
      <c r="I347" s="10" t="s">
        <v>1357</v>
      </c>
    </row>
    <row r="348" spans="1:9" x14ac:dyDescent="0.3">
      <c r="A348" s="8" t="s">
        <v>2938</v>
      </c>
      <c r="C348" s="10" t="s">
        <v>1358</v>
      </c>
      <c r="E348" s="10" t="s">
        <v>3913</v>
      </c>
      <c r="G348" s="10" t="s">
        <v>4095</v>
      </c>
      <c r="I348" s="10" t="s">
        <v>3333</v>
      </c>
    </row>
    <row r="349" spans="1:9" x14ac:dyDescent="0.3">
      <c r="A349" s="8" t="s">
        <v>2939</v>
      </c>
      <c r="C349" s="10" t="s">
        <v>1359</v>
      </c>
      <c r="E349" s="10" t="s">
        <v>3914</v>
      </c>
      <c r="G349" s="10" t="s">
        <v>4096</v>
      </c>
      <c r="I349" s="10" t="s">
        <v>3334</v>
      </c>
    </row>
    <row r="350" spans="1:9" x14ac:dyDescent="0.3">
      <c r="A350" s="8" t="s">
        <v>19</v>
      </c>
      <c r="C350" s="10" t="s">
        <v>19</v>
      </c>
      <c r="E350" s="10" t="s">
        <v>19</v>
      </c>
      <c r="G350" s="10" t="s">
        <v>19</v>
      </c>
      <c r="I350" s="10" t="s">
        <v>19</v>
      </c>
    </row>
    <row r="351" spans="1:9" x14ac:dyDescent="0.3">
      <c r="A351" s="8" t="s">
        <v>39</v>
      </c>
      <c r="C351" s="10" t="s">
        <v>1348</v>
      </c>
      <c r="E351" s="10" t="s">
        <v>1348</v>
      </c>
      <c r="G351" s="10" t="s">
        <v>1348</v>
      </c>
      <c r="I351" s="10" t="s">
        <v>1348</v>
      </c>
    </row>
    <row r="352" spans="1:9" x14ac:dyDescent="0.3">
      <c r="A352" s="8" t="s">
        <v>2932</v>
      </c>
      <c r="C352" s="10" t="s">
        <v>1352</v>
      </c>
      <c r="E352" s="10" t="s">
        <v>3909</v>
      </c>
      <c r="G352" s="10" t="s">
        <v>4091</v>
      </c>
      <c r="I352" s="10" t="s">
        <v>3329</v>
      </c>
    </row>
    <row r="353" spans="1:9" x14ac:dyDescent="0.3">
      <c r="A353" s="8" t="s">
        <v>2933</v>
      </c>
      <c r="C353" s="10" t="s">
        <v>1353</v>
      </c>
      <c r="E353" s="10" t="s">
        <v>3910</v>
      </c>
      <c r="G353" s="10" t="s">
        <v>4092</v>
      </c>
      <c r="I353" s="10" t="s">
        <v>3330</v>
      </c>
    </row>
    <row r="354" spans="1:9" x14ac:dyDescent="0.3">
      <c r="A354" s="8" t="s">
        <v>2934</v>
      </c>
      <c r="C354" s="10" t="s">
        <v>1354</v>
      </c>
      <c r="E354" s="10" t="s">
        <v>1354</v>
      </c>
      <c r="G354" s="10" t="s">
        <v>1354</v>
      </c>
      <c r="I354" s="10" t="s">
        <v>1354</v>
      </c>
    </row>
    <row r="355" spans="1:9" x14ac:dyDescent="0.3">
      <c r="A355" s="8" t="s">
        <v>2935</v>
      </c>
      <c r="C355" s="10" t="s">
        <v>1355</v>
      </c>
      <c r="E355" s="10" t="s">
        <v>3911</v>
      </c>
      <c r="G355" s="10" t="s">
        <v>4093</v>
      </c>
      <c r="I355" s="10" t="s">
        <v>3331</v>
      </c>
    </row>
    <row r="356" spans="1:9" x14ac:dyDescent="0.3">
      <c r="A356" s="8" t="s">
        <v>2936</v>
      </c>
      <c r="C356" s="10" t="s">
        <v>1356</v>
      </c>
      <c r="E356" s="10" t="s">
        <v>3912</v>
      </c>
      <c r="G356" s="10" t="s">
        <v>4094</v>
      </c>
      <c r="I356" s="10" t="s">
        <v>3332</v>
      </c>
    </row>
    <row r="357" spans="1:9" x14ac:dyDescent="0.3">
      <c r="A357" s="8" t="s">
        <v>2937</v>
      </c>
      <c r="C357" s="10" t="s">
        <v>1357</v>
      </c>
      <c r="E357" s="10" t="s">
        <v>1357</v>
      </c>
      <c r="G357" s="10" t="s">
        <v>1357</v>
      </c>
      <c r="I357" s="10" t="s">
        <v>1357</v>
      </c>
    </row>
    <row r="358" spans="1:9" x14ac:dyDescent="0.3">
      <c r="A358" s="8" t="s">
        <v>2938</v>
      </c>
      <c r="C358" s="10" t="s">
        <v>1358</v>
      </c>
      <c r="E358" s="10" t="s">
        <v>3913</v>
      </c>
      <c r="G358" s="10" t="s">
        <v>4095</v>
      </c>
      <c r="I358" s="10" t="s">
        <v>3333</v>
      </c>
    </row>
    <row r="359" spans="1:9" x14ac:dyDescent="0.3">
      <c r="A359" s="8" t="s">
        <v>2939</v>
      </c>
      <c r="C359" s="10" t="s">
        <v>1359</v>
      </c>
      <c r="E359" s="10" t="s">
        <v>3914</v>
      </c>
      <c r="G359" s="10" t="s">
        <v>4096</v>
      </c>
      <c r="I359" s="10" t="s">
        <v>3334</v>
      </c>
    </row>
    <row r="360" spans="1:9" x14ac:dyDescent="0.3">
      <c r="A360" s="8" t="s">
        <v>19</v>
      </c>
      <c r="C360" s="10" t="s">
        <v>19</v>
      </c>
      <c r="E360" s="10" t="s">
        <v>19</v>
      </c>
      <c r="G360" s="10" t="s">
        <v>19</v>
      </c>
      <c r="I360" s="10" t="s">
        <v>19</v>
      </c>
    </row>
    <row r="361" spans="1:9" x14ac:dyDescent="0.3">
      <c r="A361" s="8" t="s">
        <v>40</v>
      </c>
      <c r="C361" s="10" t="s">
        <v>1349</v>
      </c>
      <c r="E361" s="10" t="s">
        <v>1349</v>
      </c>
      <c r="G361" s="10" t="s">
        <v>1349</v>
      </c>
      <c r="I361" s="10" t="s">
        <v>1349</v>
      </c>
    </row>
    <row r="362" spans="1:9" x14ac:dyDescent="0.3">
      <c r="A362" s="8" t="s">
        <v>2932</v>
      </c>
      <c r="C362" s="10" t="s">
        <v>1352</v>
      </c>
      <c r="E362" s="10" t="s">
        <v>3909</v>
      </c>
      <c r="G362" s="10" t="s">
        <v>4091</v>
      </c>
      <c r="I362" s="10" t="s">
        <v>3329</v>
      </c>
    </row>
    <row r="363" spans="1:9" x14ac:dyDescent="0.3">
      <c r="A363" s="8" t="s">
        <v>2933</v>
      </c>
      <c r="C363" s="10" t="s">
        <v>1353</v>
      </c>
      <c r="E363" s="10" t="s">
        <v>3910</v>
      </c>
      <c r="G363" s="10" t="s">
        <v>4092</v>
      </c>
      <c r="I363" s="10" t="s">
        <v>3330</v>
      </c>
    </row>
    <row r="364" spans="1:9" x14ac:dyDescent="0.3">
      <c r="A364" s="8" t="s">
        <v>2934</v>
      </c>
      <c r="C364" s="10" t="s">
        <v>1354</v>
      </c>
      <c r="E364" s="10" t="s">
        <v>1354</v>
      </c>
      <c r="G364" s="10" t="s">
        <v>1354</v>
      </c>
      <c r="I364" s="10" t="s">
        <v>1354</v>
      </c>
    </row>
    <row r="365" spans="1:9" x14ac:dyDescent="0.3">
      <c r="A365" s="8" t="s">
        <v>2935</v>
      </c>
      <c r="C365" s="10" t="s">
        <v>1355</v>
      </c>
      <c r="E365" s="10" t="s">
        <v>3911</v>
      </c>
      <c r="G365" s="10" t="s">
        <v>4093</v>
      </c>
      <c r="I365" s="10" t="s">
        <v>3331</v>
      </c>
    </row>
    <row r="366" spans="1:9" x14ac:dyDescent="0.3">
      <c r="A366" s="8" t="s">
        <v>2936</v>
      </c>
      <c r="C366" s="10" t="s">
        <v>1356</v>
      </c>
      <c r="E366" s="10" t="s">
        <v>3912</v>
      </c>
      <c r="G366" s="10" t="s">
        <v>4094</v>
      </c>
      <c r="I366" s="10" t="s">
        <v>3332</v>
      </c>
    </row>
    <row r="367" spans="1:9" x14ac:dyDescent="0.3">
      <c r="A367" s="8" t="s">
        <v>2937</v>
      </c>
      <c r="C367" s="10" t="s">
        <v>1357</v>
      </c>
      <c r="E367" s="10" t="s">
        <v>1357</v>
      </c>
      <c r="G367" s="10" t="s">
        <v>1357</v>
      </c>
      <c r="I367" s="10" t="s">
        <v>1357</v>
      </c>
    </row>
    <row r="368" spans="1:9" x14ac:dyDescent="0.3">
      <c r="A368" s="8" t="s">
        <v>2938</v>
      </c>
      <c r="C368" s="10" t="s">
        <v>1358</v>
      </c>
      <c r="E368" s="10" t="s">
        <v>3913</v>
      </c>
      <c r="G368" s="10" t="s">
        <v>4095</v>
      </c>
      <c r="I368" s="10" t="s">
        <v>3333</v>
      </c>
    </row>
    <row r="369" spans="1:9" x14ac:dyDescent="0.3">
      <c r="A369" s="8" t="s">
        <v>2939</v>
      </c>
      <c r="C369" s="10" t="s">
        <v>1359</v>
      </c>
      <c r="E369" s="10" t="s">
        <v>3914</v>
      </c>
      <c r="G369" s="10" t="s">
        <v>4096</v>
      </c>
      <c r="I369" s="10" t="s">
        <v>3334</v>
      </c>
    </row>
    <row r="370" spans="1:9" x14ac:dyDescent="0.3">
      <c r="A370" s="8" t="s">
        <v>19</v>
      </c>
      <c r="C370" s="10" t="s">
        <v>19</v>
      </c>
      <c r="E370" s="10" t="s">
        <v>19</v>
      </c>
      <c r="G370" s="10" t="s">
        <v>19</v>
      </c>
      <c r="I370" s="10" t="s">
        <v>19</v>
      </c>
    </row>
    <row r="371" spans="1:9" x14ac:dyDescent="0.3">
      <c r="A371" s="8" t="s">
        <v>42</v>
      </c>
      <c r="C371" s="10" t="s">
        <v>1350</v>
      </c>
      <c r="E371" s="10" t="s">
        <v>1350</v>
      </c>
      <c r="G371" s="10" t="s">
        <v>1350</v>
      </c>
      <c r="I371" s="10" t="s">
        <v>1350</v>
      </c>
    </row>
    <row r="372" spans="1:9" x14ac:dyDescent="0.3">
      <c r="A372" s="8" t="s">
        <v>2932</v>
      </c>
      <c r="C372" s="10" t="s">
        <v>1352</v>
      </c>
      <c r="E372" s="10" t="s">
        <v>3909</v>
      </c>
      <c r="G372" s="10" t="s">
        <v>4091</v>
      </c>
      <c r="I372" s="10" t="s">
        <v>3329</v>
      </c>
    </row>
    <row r="373" spans="1:9" x14ac:dyDescent="0.3">
      <c r="A373" s="8" t="s">
        <v>2933</v>
      </c>
      <c r="C373" s="10" t="s">
        <v>1353</v>
      </c>
      <c r="E373" s="10" t="s">
        <v>3910</v>
      </c>
      <c r="G373" s="10" t="s">
        <v>4092</v>
      </c>
      <c r="I373" s="10" t="s">
        <v>3330</v>
      </c>
    </row>
    <row r="374" spans="1:9" x14ac:dyDescent="0.3">
      <c r="A374" s="8" t="s">
        <v>2934</v>
      </c>
      <c r="C374" s="10" t="s">
        <v>1354</v>
      </c>
      <c r="E374" s="10" t="s">
        <v>1354</v>
      </c>
      <c r="G374" s="10" t="s">
        <v>1354</v>
      </c>
      <c r="I374" s="10" t="s">
        <v>1354</v>
      </c>
    </row>
    <row r="375" spans="1:9" x14ac:dyDescent="0.3">
      <c r="A375" s="8" t="s">
        <v>2935</v>
      </c>
      <c r="C375" s="10" t="s">
        <v>1355</v>
      </c>
      <c r="E375" s="10" t="s">
        <v>3911</v>
      </c>
      <c r="G375" s="10" t="s">
        <v>4093</v>
      </c>
      <c r="I375" s="10" t="s">
        <v>3331</v>
      </c>
    </row>
    <row r="376" spans="1:9" x14ac:dyDescent="0.3">
      <c r="A376" s="8" t="s">
        <v>2936</v>
      </c>
      <c r="C376" s="10" t="s">
        <v>1356</v>
      </c>
      <c r="E376" s="10" t="s">
        <v>3912</v>
      </c>
      <c r="G376" s="10" t="s">
        <v>4094</v>
      </c>
      <c r="I376" s="10" t="s">
        <v>3332</v>
      </c>
    </row>
    <row r="377" spans="1:9" x14ac:dyDescent="0.3">
      <c r="A377" s="8" t="s">
        <v>2937</v>
      </c>
      <c r="C377" s="10" t="s">
        <v>1357</v>
      </c>
      <c r="E377" s="10" t="s">
        <v>1357</v>
      </c>
      <c r="G377" s="10" t="s">
        <v>1357</v>
      </c>
      <c r="I377" s="10" t="s">
        <v>1357</v>
      </c>
    </row>
    <row r="378" spans="1:9" x14ac:dyDescent="0.3">
      <c r="A378" s="8" t="s">
        <v>2938</v>
      </c>
      <c r="C378" s="10" t="s">
        <v>1358</v>
      </c>
      <c r="E378" s="10" t="s">
        <v>3913</v>
      </c>
      <c r="G378" s="10" t="s">
        <v>4095</v>
      </c>
      <c r="I378" s="10" t="s">
        <v>3333</v>
      </c>
    </row>
    <row r="379" spans="1:9" x14ac:dyDescent="0.3">
      <c r="A379" s="8" t="s">
        <v>2939</v>
      </c>
      <c r="C379" s="10" t="s">
        <v>1359</v>
      </c>
      <c r="E379" s="10" t="s">
        <v>3914</v>
      </c>
      <c r="G379" s="10" t="s">
        <v>4096</v>
      </c>
      <c r="I379" s="10" t="s">
        <v>3334</v>
      </c>
    </row>
    <row r="380" spans="1:9" x14ac:dyDescent="0.3">
      <c r="A380" s="8" t="s">
        <v>20</v>
      </c>
      <c r="C380" s="10" t="s">
        <v>20</v>
      </c>
      <c r="E380" s="10" t="s">
        <v>20</v>
      </c>
      <c r="G380" s="10" t="s">
        <v>20</v>
      </c>
      <c r="I380" s="10" t="s">
        <v>20</v>
      </c>
    </row>
    <row r="381" spans="1:9" x14ac:dyDescent="0.3">
      <c r="A381" s="8" t="s">
        <v>21</v>
      </c>
      <c r="C381" s="10" t="s">
        <v>21</v>
      </c>
      <c r="E381" s="10" t="s">
        <v>21</v>
      </c>
      <c r="G381" s="10" t="s">
        <v>21</v>
      </c>
      <c r="I381" s="10" t="s">
        <v>21</v>
      </c>
    </row>
    <row r="382" spans="1:9" x14ac:dyDescent="0.3">
      <c r="A382" s="8" t="s">
        <v>43</v>
      </c>
      <c r="C382" s="10" t="s">
        <v>1340</v>
      </c>
      <c r="E382" s="10" t="s">
        <v>1340</v>
      </c>
      <c r="G382" s="10" t="s">
        <v>1340</v>
      </c>
      <c r="I382" s="10" t="s">
        <v>1340</v>
      </c>
    </row>
    <row r="383" spans="1:9" x14ac:dyDescent="0.3">
      <c r="A383" s="8" t="s">
        <v>44</v>
      </c>
      <c r="C383" s="10" t="s">
        <v>1351</v>
      </c>
      <c r="E383" s="10" t="s">
        <v>1351</v>
      </c>
      <c r="G383" s="10" t="s">
        <v>1351</v>
      </c>
      <c r="I383" s="10" t="s">
        <v>1351</v>
      </c>
    </row>
    <row r="384" spans="1:9" x14ac:dyDescent="0.3">
      <c r="A384" s="8" t="s">
        <v>2932</v>
      </c>
      <c r="C384" s="10" t="s">
        <v>1352</v>
      </c>
      <c r="E384" s="10" t="s">
        <v>3909</v>
      </c>
      <c r="G384" s="10" t="s">
        <v>4091</v>
      </c>
      <c r="I384" s="10" t="s">
        <v>3329</v>
      </c>
    </row>
    <row r="385" spans="1:9" x14ac:dyDescent="0.3">
      <c r="A385" s="8" t="s">
        <v>2933</v>
      </c>
      <c r="C385" s="10" t="s">
        <v>1353</v>
      </c>
      <c r="E385" s="10" t="s">
        <v>3910</v>
      </c>
      <c r="G385" s="10" t="s">
        <v>4092</v>
      </c>
      <c r="I385" s="10" t="s">
        <v>3330</v>
      </c>
    </row>
    <row r="386" spans="1:9" x14ac:dyDescent="0.3">
      <c r="A386" s="8" t="s">
        <v>2934</v>
      </c>
      <c r="C386" s="10" t="s">
        <v>1354</v>
      </c>
      <c r="E386" s="10" t="s">
        <v>1354</v>
      </c>
      <c r="G386" s="10" t="s">
        <v>1354</v>
      </c>
      <c r="I386" s="10" t="s">
        <v>1354</v>
      </c>
    </row>
    <row r="387" spans="1:9" x14ac:dyDescent="0.3">
      <c r="A387" s="8" t="s">
        <v>2935</v>
      </c>
      <c r="C387" s="10" t="s">
        <v>1355</v>
      </c>
      <c r="E387" s="10" t="s">
        <v>3911</v>
      </c>
      <c r="G387" s="10" t="s">
        <v>4093</v>
      </c>
      <c r="I387" s="10" t="s">
        <v>3331</v>
      </c>
    </row>
    <row r="388" spans="1:9" x14ac:dyDescent="0.3">
      <c r="A388" s="8" t="s">
        <v>2936</v>
      </c>
      <c r="C388" s="10" t="s">
        <v>1356</v>
      </c>
      <c r="E388" s="10" t="s">
        <v>3912</v>
      </c>
      <c r="G388" s="10" t="s">
        <v>4094</v>
      </c>
      <c r="I388" s="10" t="s">
        <v>3332</v>
      </c>
    </row>
    <row r="389" spans="1:9" x14ac:dyDescent="0.3">
      <c r="A389" s="8" t="s">
        <v>2937</v>
      </c>
      <c r="C389" s="10" t="s">
        <v>1357</v>
      </c>
      <c r="E389" s="10" t="s">
        <v>1357</v>
      </c>
      <c r="G389" s="10" t="s">
        <v>1357</v>
      </c>
      <c r="I389" s="10" t="s">
        <v>1357</v>
      </c>
    </row>
    <row r="390" spans="1:9" x14ac:dyDescent="0.3">
      <c r="A390" s="8" t="s">
        <v>2938</v>
      </c>
      <c r="C390" s="10" t="s">
        <v>1358</v>
      </c>
      <c r="E390" s="10" t="s">
        <v>3913</v>
      </c>
      <c r="G390" s="10" t="s">
        <v>4095</v>
      </c>
      <c r="I390" s="10" t="s">
        <v>3333</v>
      </c>
    </row>
    <row r="391" spans="1:9" x14ac:dyDescent="0.3">
      <c r="A391" s="8" t="s">
        <v>2939</v>
      </c>
      <c r="C391" s="10" t="s">
        <v>1359</v>
      </c>
      <c r="E391" s="10" t="s">
        <v>3914</v>
      </c>
      <c r="G391" s="10" t="s">
        <v>4096</v>
      </c>
      <c r="I391" s="10" t="s">
        <v>3334</v>
      </c>
    </row>
    <row r="392" spans="1:9" x14ac:dyDescent="0.3">
      <c r="A392" s="8" t="s">
        <v>20</v>
      </c>
      <c r="C392" s="10" t="s">
        <v>20</v>
      </c>
      <c r="E392" s="10" t="s">
        <v>20</v>
      </c>
      <c r="G392" s="10" t="s">
        <v>20</v>
      </c>
      <c r="I392" s="10" t="s">
        <v>20</v>
      </c>
    </row>
    <row r="393" spans="1:9" x14ac:dyDescent="0.3">
      <c r="A393" s="8" t="s">
        <v>22</v>
      </c>
      <c r="C393" s="10" t="s">
        <v>22</v>
      </c>
      <c r="E393" s="10" t="s">
        <v>22</v>
      </c>
      <c r="G393" s="10" t="s">
        <v>22</v>
      </c>
      <c r="I393" s="10" t="s">
        <v>22</v>
      </c>
    </row>
    <row r="394" spans="1:9" x14ac:dyDescent="0.3">
      <c r="A394" s="8" t="s">
        <v>24</v>
      </c>
      <c r="C394" s="10" t="s">
        <v>23</v>
      </c>
      <c r="E394" s="10" t="s">
        <v>24</v>
      </c>
      <c r="G394" s="10" t="s">
        <v>24</v>
      </c>
      <c r="I394" s="10" t="s">
        <v>24</v>
      </c>
    </row>
    <row r="395" spans="1:9" x14ac:dyDescent="0.3">
      <c r="A395" s="8" t="s">
        <v>25</v>
      </c>
      <c r="C395" s="10" t="s">
        <v>25</v>
      </c>
      <c r="E395" s="10" t="s">
        <v>25</v>
      </c>
      <c r="G395" s="10" t="s">
        <v>25</v>
      </c>
      <c r="I395" s="10" t="s">
        <v>25</v>
      </c>
    </row>
    <row r="397" spans="1:9" x14ac:dyDescent="0.3">
      <c r="E397" s="7"/>
      <c r="G397" s="15"/>
    </row>
    <row r="398" spans="1:9" x14ac:dyDescent="0.3">
      <c r="G398" s="7"/>
    </row>
    <row r="399" spans="1:9" x14ac:dyDescent="0.3">
      <c r="E399"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D1" workbookViewId="0">
      <selection activeCell="G9" sqref="G9"/>
    </sheetView>
  </sheetViews>
  <sheetFormatPr defaultRowHeight="14.4" x14ac:dyDescent="0.3"/>
  <cols>
    <col min="1" max="1" width="66.109375" customWidth="1"/>
    <col min="2" max="2" width="8.44140625" style="5" bestFit="1" customWidth="1"/>
    <col min="3" max="3" width="58.33203125" customWidth="1"/>
    <col min="4" max="4" width="8.44140625" style="5" bestFit="1" customWidth="1"/>
    <col min="5" max="5" width="60.88671875" customWidth="1"/>
    <col min="6" max="6" width="8.44140625" style="5" bestFit="1" customWidth="1"/>
    <col min="7" max="7" width="55.6640625" bestFit="1" customWidth="1"/>
    <col min="8" max="8" width="8.44140625" style="5" bestFit="1" customWidth="1"/>
    <col min="9" max="9" width="94.88671875" bestFit="1" customWidth="1"/>
  </cols>
  <sheetData>
    <row r="1" spans="1:9" x14ac:dyDescent="0.3">
      <c r="A1" s="6" t="s">
        <v>1460</v>
      </c>
      <c r="B1" s="4"/>
      <c r="C1" s="6" t="s">
        <v>17</v>
      </c>
      <c r="D1" s="4"/>
      <c r="E1" s="13" t="s">
        <v>2958</v>
      </c>
      <c r="F1" s="4"/>
      <c r="G1" s="13" t="s">
        <v>3354</v>
      </c>
      <c r="H1" s="4"/>
      <c r="I1" s="13" t="s">
        <v>3355</v>
      </c>
    </row>
    <row r="3" spans="1:9" x14ac:dyDescent="0.3">
      <c r="A3" t="s">
        <v>1461</v>
      </c>
      <c r="C3" t="s">
        <v>1464</v>
      </c>
      <c r="E3" t="s">
        <v>3062</v>
      </c>
      <c r="G3" t="s">
        <v>3102</v>
      </c>
      <c r="I3" t="s">
        <v>3335</v>
      </c>
    </row>
    <row r="4" spans="1:9" x14ac:dyDescent="0.3">
      <c r="G4" t="s">
        <v>3103</v>
      </c>
      <c r="I4" t="s">
        <v>3336</v>
      </c>
    </row>
    <row r="5" spans="1:9" ht="57.6" x14ac:dyDescent="0.3">
      <c r="A5" s="9" t="s">
        <v>1462</v>
      </c>
      <c r="C5" s="9" t="s">
        <v>1462</v>
      </c>
      <c r="E5" s="9" t="s">
        <v>1462</v>
      </c>
      <c r="G5" t="s">
        <v>3104</v>
      </c>
    </row>
    <row r="7" spans="1:9" ht="57.6" x14ac:dyDescent="0.3">
      <c r="A7" s="12" t="s">
        <v>1463</v>
      </c>
      <c r="C7" s="12" t="s">
        <v>1463</v>
      </c>
      <c r="E7" s="12" t="s">
        <v>1463</v>
      </c>
      <c r="G7" s="9" t="s">
        <v>1462</v>
      </c>
      <c r="I7" s="9" t="s">
        <v>1462</v>
      </c>
    </row>
    <row r="8" spans="1:9" x14ac:dyDescent="0.3">
      <c r="E8" s="7"/>
    </row>
    <row r="9" spans="1:9" x14ac:dyDescent="0.3">
      <c r="G9" s="12" t="s">
        <v>1463</v>
      </c>
      <c r="I9" s="12" t="s">
        <v>1463</v>
      </c>
    </row>
    <row r="10" spans="1:9" x14ac:dyDescent="0.3">
      <c r="A10" t="s">
        <v>1465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Metrics</vt:lpstr>
      <vt:lpstr>Match_Score</vt:lpstr>
      <vt:lpstr>Outputs</vt:lpstr>
      <vt:lpstr>Q&amp;A</vt:lpstr>
      <vt:lpstr>Contexts</vt:lpstr>
      <vt:lpstr>Chunks</vt:lpstr>
      <vt:lpstr>run_times</vt:lpstr>
      <vt:lpstr>Configs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Amjad</dc:creator>
  <cp:lastModifiedBy>Ali Amjad</cp:lastModifiedBy>
  <dcterms:created xsi:type="dcterms:W3CDTF">2025-09-10T11:39:17Z</dcterms:created>
  <dcterms:modified xsi:type="dcterms:W3CDTF">2025-10-17T19:08:30Z</dcterms:modified>
</cp:coreProperties>
</file>